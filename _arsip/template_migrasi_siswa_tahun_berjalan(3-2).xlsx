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lana\Downloads\"/>
    </mc:Choice>
  </mc:AlternateContent>
  <xr:revisionPtr revIDLastSave="0" documentId="13_ncr:1_{0A3F1EDB-787D-4045-AADC-F4CC37168B49}" xr6:coauthVersionLast="47" xr6:coauthVersionMax="47" xr10:uidLastSave="{00000000-0000-0000-0000-000000000000}"/>
  <bookViews>
    <workbookView xWindow="-120" yWindow="-120" windowWidth="20730" windowHeight="11160" tabRatio="500" firstSheet="1" activeTab="3" xr2:uid="{00000000-000D-0000-FFFF-FFFF00000000}"/>
  </bookViews>
  <sheets>
    <sheet name="petunjuk" sheetId="1" r:id="rId1"/>
    <sheet name="siswa" sheetId="2" r:id="rId2"/>
    <sheet name="tagihan" sheetId="3" r:id="rId3"/>
    <sheet name="pembayaran" sheetId="4" r:id="rId4"/>
    <sheet name="referensi" sheetId="5" r:id="rId5"/>
  </sheets>
  <definedNames>
    <definedName name="_xlnm._FilterDatabase" localSheetId="1" hidden="1">siswa!$A$1:$R$39</definedName>
    <definedName name="_xlnm._FilterDatabase" localSheetId="2" hidden="1">tagihan!$A$1:$J$2</definedName>
    <definedName name="daftarnama">siswa!$C$2:$C$39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4" i="3" l="1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B420" i="3"/>
  <c r="B421" i="3"/>
  <c r="B422" i="3"/>
  <c r="B399" i="3"/>
  <c r="B410" i="3"/>
  <c r="B411" i="3"/>
  <c r="B412" i="3"/>
  <c r="B413" i="3"/>
  <c r="B414" i="3"/>
  <c r="B415" i="3"/>
  <c r="B416" i="3"/>
  <c r="B417" i="3"/>
  <c r="B418" i="3"/>
  <c r="B419" i="3"/>
  <c r="B423" i="3"/>
  <c r="B424" i="3"/>
  <c r="B425" i="3"/>
  <c r="B426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400" i="3"/>
  <c r="B401" i="3"/>
  <c r="B402" i="3"/>
  <c r="B403" i="3"/>
  <c r="B404" i="3"/>
  <c r="B405" i="3"/>
  <c r="B406" i="3"/>
  <c r="B407" i="3"/>
  <c r="B408" i="3"/>
  <c r="B409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D340" i="3"/>
  <c r="H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40" i="3"/>
  <c r="D81" i="3"/>
  <c r="I81" i="3" s="1"/>
  <c r="D82" i="3"/>
  <c r="I82" i="3" s="1"/>
  <c r="D83" i="3"/>
  <c r="I83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D79" i="3"/>
  <c r="I79" i="3" s="1"/>
  <c r="D80" i="3"/>
  <c r="I80" i="3" s="1"/>
  <c r="D84" i="3"/>
  <c r="I84" i="3" s="1"/>
  <c r="D85" i="3"/>
  <c r="I85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0" i="3"/>
  <c r="I150" i="3" s="1"/>
  <c r="D151" i="3"/>
  <c r="I151" i="3" s="1"/>
  <c r="D152" i="3"/>
  <c r="I152" i="3" s="1"/>
  <c r="D153" i="3"/>
  <c r="I153" i="3" s="1"/>
  <c r="D154" i="3"/>
  <c r="I154" i="3" s="1"/>
  <c r="D155" i="3"/>
  <c r="I155" i="3" s="1"/>
  <c r="D156" i="3"/>
  <c r="I156" i="3" s="1"/>
  <c r="D157" i="3"/>
  <c r="I157" i="3" s="1"/>
  <c r="D158" i="3"/>
  <c r="I158" i="3" s="1"/>
  <c r="D159" i="3"/>
  <c r="I159" i="3" s="1"/>
  <c r="D160" i="3"/>
  <c r="I160" i="3" s="1"/>
  <c r="D161" i="3"/>
  <c r="I161" i="3" s="1"/>
  <c r="D162" i="3"/>
  <c r="I162" i="3" s="1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227" i="3"/>
  <c r="I227" i="3" s="1"/>
  <c r="D228" i="3"/>
  <c r="I228" i="3" s="1"/>
  <c r="D229" i="3"/>
  <c r="I229" i="3" s="1"/>
  <c r="D230" i="3"/>
  <c r="I230" i="3" s="1"/>
  <c r="D231" i="3"/>
  <c r="I231" i="3" s="1"/>
  <c r="D232" i="3"/>
  <c r="I232" i="3" s="1"/>
  <c r="D233" i="3"/>
  <c r="I233" i="3" s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298" i="3"/>
  <c r="I298" i="3" s="1"/>
  <c r="D299" i="3"/>
  <c r="I299" i="3" s="1"/>
  <c r="D300" i="3"/>
  <c r="I300" i="3" s="1"/>
  <c r="D301" i="3"/>
  <c r="I301" i="3" s="1"/>
  <c r="D302" i="3"/>
  <c r="I302" i="3" s="1"/>
  <c r="D303" i="3"/>
  <c r="I303" i="3" s="1"/>
  <c r="D304" i="3"/>
  <c r="I304" i="3" s="1"/>
  <c r="D305" i="3"/>
  <c r="I305" i="3" s="1"/>
  <c r="D306" i="3"/>
  <c r="I306" i="3" s="1"/>
  <c r="D307" i="3"/>
  <c r="I307" i="3" s="1"/>
  <c r="D308" i="3"/>
  <c r="I308" i="3" s="1"/>
  <c r="D309" i="3"/>
  <c r="I309" i="3" s="1"/>
  <c r="D310" i="3"/>
  <c r="I310" i="3" s="1"/>
  <c r="D311" i="3"/>
  <c r="I311" i="3" s="1"/>
  <c r="D312" i="3"/>
  <c r="I312" i="3" s="1"/>
  <c r="D313" i="3"/>
  <c r="I313" i="3" s="1"/>
  <c r="D314" i="3"/>
  <c r="I314" i="3" s="1"/>
  <c r="D315" i="3"/>
  <c r="I315" i="3" s="1"/>
  <c r="D316" i="3"/>
  <c r="I316" i="3" s="1"/>
  <c r="D317" i="3"/>
  <c r="I317" i="3" s="1"/>
  <c r="D318" i="3"/>
  <c r="I318" i="3" s="1"/>
  <c r="D319" i="3"/>
  <c r="I319" i="3" s="1"/>
  <c r="D320" i="3"/>
  <c r="I320" i="3" s="1"/>
  <c r="D321" i="3"/>
  <c r="I321" i="3" s="1"/>
  <c r="D322" i="3"/>
  <c r="I322" i="3" s="1"/>
  <c r="D323" i="3"/>
  <c r="I323" i="3" s="1"/>
  <c r="D324" i="3"/>
  <c r="I324" i="3" s="1"/>
  <c r="D325" i="3"/>
  <c r="I325" i="3" s="1"/>
  <c r="D326" i="3"/>
  <c r="I326" i="3" s="1"/>
  <c r="D327" i="3"/>
  <c r="I327" i="3" s="1"/>
  <c r="D328" i="3"/>
  <c r="I328" i="3" s="1"/>
  <c r="D329" i="3"/>
  <c r="I329" i="3" s="1"/>
  <c r="D330" i="3"/>
  <c r="I330" i="3" s="1"/>
  <c r="D331" i="3"/>
  <c r="I331" i="3" s="1"/>
  <c r="D332" i="3"/>
  <c r="I332" i="3" s="1"/>
  <c r="D333" i="3"/>
  <c r="I333" i="3" s="1"/>
  <c r="D334" i="3"/>
  <c r="I334" i="3" s="1"/>
  <c r="D335" i="3"/>
  <c r="I335" i="3" s="1"/>
  <c r="D336" i="3"/>
  <c r="I336" i="3" s="1"/>
  <c r="D337" i="3"/>
  <c r="I337" i="3" s="1"/>
  <c r="D338" i="3"/>
  <c r="I338" i="3" s="1"/>
  <c r="D339" i="3"/>
  <c r="I339" i="3" s="1"/>
  <c r="D6" i="3"/>
  <c r="I6" i="3" s="1"/>
  <c r="D7" i="3"/>
  <c r="I7" i="3" s="1"/>
  <c r="D8" i="3"/>
  <c r="I8" i="3" s="1"/>
  <c r="D9" i="3"/>
  <c r="I9" i="3" s="1"/>
  <c r="D10" i="3"/>
  <c r="I10" i="3" s="1"/>
  <c r="D11" i="3"/>
  <c r="I11" i="3" s="1"/>
  <c r="D12" i="3"/>
  <c r="I12" i="3" s="1"/>
  <c r="D13" i="3"/>
  <c r="I13" i="3" s="1"/>
  <c r="D14" i="3"/>
  <c r="I14" i="3" s="1"/>
  <c r="D15" i="3"/>
  <c r="I15" i="3" s="1"/>
  <c r="D16" i="3"/>
  <c r="I16" i="3" s="1"/>
  <c r="D3" i="3"/>
  <c r="I3" i="3" s="1"/>
  <c r="D4" i="3"/>
  <c r="I4" i="3" s="1"/>
  <c r="D5" i="3"/>
  <c r="I5" i="3" s="1"/>
  <c r="D2" i="3"/>
  <c r="I2" i="3" s="1"/>
  <c r="H55" i="3"/>
  <c r="H56" i="3"/>
  <c r="H57" i="3"/>
  <c r="H48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9" i="3"/>
  <c r="H50" i="3"/>
  <c r="H51" i="3"/>
  <c r="H52" i="3"/>
  <c r="H54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12" i="3"/>
  <c r="H3" i="3"/>
  <c r="H4" i="3"/>
  <c r="H5" i="3"/>
  <c r="H6" i="3"/>
  <c r="H7" i="3"/>
  <c r="H8" i="3"/>
  <c r="H9" i="3"/>
  <c r="H10" i="3"/>
  <c r="H11" i="3"/>
  <c r="H2" i="3"/>
</calcChain>
</file>

<file path=xl/sharedStrings.xml><?xml version="1.0" encoding="utf-8"?>
<sst xmlns="http://schemas.openxmlformats.org/spreadsheetml/2006/main" count="3905" uniqueCount="1076">
  <si>
    <t>instruksi</t>
  </si>
  <si>
    <t>Isi baris yang disediakan. SPP bulan depan dibuat otomatis. Tunggakan SPP lama dicatat di sheet tagihan dengan jenis_tagihan = spp dan bulan_tahun diisi. Kolom jenis_tagihan wajib sama dengan di sistem.</t>
  </si>
  <si>
    <t>kode_import_siswa</t>
  </si>
  <si>
    <t>nis</t>
  </si>
  <si>
    <t>nama_siswa</t>
  </si>
  <si>
    <t>tanggal_lahir</t>
  </si>
  <si>
    <t>jenis_kelamin</t>
  </si>
  <si>
    <t>nama_wali</t>
  </si>
  <si>
    <t>kontak_wali</t>
  </si>
  <si>
    <t>alamat</t>
  </si>
  <si>
    <t>status</t>
  </si>
  <si>
    <t>jenis_masuk</t>
  </si>
  <si>
    <t>tanggal_daftar</t>
  </si>
  <si>
    <t>tingkat</t>
  </si>
  <si>
    <t>kelas</t>
  </si>
  <si>
    <t>tanggal_keluar</t>
  </si>
  <si>
    <t>alasan_keluar</t>
  </si>
  <si>
    <t>tarif_spp_khusus</t>
  </si>
  <si>
    <t>alasan_tarif_spp_khusus</t>
  </si>
  <si>
    <t>nama_promo</t>
  </si>
  <si>
    <t>S001</t>
  </si>
  <si>
    <t>Abhimanyu Kenzo Novendra</t>
  </si>
  <si>
    <t>L</t>
  </si>
  <si>
    <t>Fery Juanda</t>
  </si>
  <si>
    <t>081234567890</t>
  </si>
  <si>
    <t>GIS BLOK K4/5</t>
  </si>
  <si>
    <t>aktif</t>
  </si>
  <si>
    <t>awal_tahun</t>
  </si>
  <si>
    <t>TK A</t>
  </si>
  <si>
    <t>S002</t>
  </si>
  <si>
    <t>Adzriel Al Mahdi</t>
  </si>
  <si>
    <t>Umar Hari Setyawan</t>
  </si>
  <si>
    <t>GIS BLOK L5/10</t>
  </si>
  <si>
    <t>TK B</t>
  </si>
  <si>
    <t>S003</t>
  </si>
  <si>
    <t>Afifa Aina Herita</t>
  </si>
  <si>
    <t>P</t>
  </si>
  <si>
    <t>Heru Susanto</t>
  </si>
  <si>
    <t>GIS BLOK R</t>
  </si>
  <si>
    <t>Aisyah Humaira</t>
  </si>
  <si>
    <t>Chandra</t>
  </si>
  <si>
    <t>Kp. Cogreg RT 02/02</t>
  </si>
  <si>
    <t>pindahan</t>
  </si>
  <si>
    <t>S004</t>
  </si>
  <si>
    <t>Aiza Nuha Mafaza</t>
  </si>
  <si>
    <t>Rahmad Hidayat</t>
  </si>
  <si>
    <t>GIS BLOK H2/10</t>
  </si>
  <si>
    <t>S005</t>
  </si>
  <si>
    <t>Aleena Savrinadeya</t>
  </si>
  <si>
    <t>Muhamad Sofi</t>
  </si>
  <si>
    <t>GIS BLOK D2/16</t>
  </si>
  <si>
    <t>keluar</t>
  </si>
  <si>
    <t>KB</t>
  </si>
  <si>
    <t>berhenti_lainnya</t>
  </si>
  <si>
    <t>S006</t>
  </si>
  <si>
    <t>Aqmar Nadhif Ramdhan</t>
  </si>
  <si>
    <t>Sahrulloh</t>
  </si>
  <si>
    <t>CBR BLOK B8/16</t>
  </si>
  <si>
    <t>S007</t>
  </si>
  <si>
    <t>Asiyah Noora Amanda</t>
  </si>
  <si>
    <t>Ermanda Saputra</t>
  </si>
  <si>
    <t>Rumah SB kel. GIS</t>
  </si>
  <si>
    <t>S008</t>
  </si>
  <si>
    <t>Dhen Adipati Siliwangi</t>
  </si>
  <si>
    <t>Suratman</t>
  </si>
  <si>
    <t>GIS BLOK L4/7</t>
  </si>
  <si>
    <t>pindah_sekolah</t>
  </si>
  <si>
    <t>S009</t>
  </si>
  <si>
    <t>Elma Hazel Maulida</t>
  </si>
  <si>
    <t>Endin Diana Saputra</t>
  </si>
  <si>
    <t>GIS BLOK R5/6</t>
  </si>
  <si>
    <t>S010</t>
  </si>
  <si>
    <t>Farhana Athabina</t>
  </si>
  <si>
    <t>M. Ardiansyah</t>
  </si>
  <si>
    <t>GIS BLOK G2/9</t>
  </si>
  <si>
    <t>S011</t>
  </si>
  <si>
    <t>Fawwaz Khayri Zain</t>
  </si>
  <si>
    <t>Dany Ilyansyah</t>
  </si>
  <si>
    <t>GIS BLOK L6/11</t>
  </si>
  <si>
    <t>S012</t>
  </si>
  <si>
    <t>Gita Nuraisya Gunawan</t>
  </si>
  <si>
    <t>Dodi Gunawan</t>
  </si>
  <si>
    <t>GIS BLOK M1/16</t>
  </si>
  <si>
    <t>S013</t>
  </si>
  <si>
    <t>Hanindhiya Izza Susanto</t>
  </si>
  <si>
    <t>Heri Susanto</t>
  </si>
  <si>
    <t>GIS BLOK G7/6</t>
  </si>
  <si>
    <t>S014</t>
  </si>
  <si>
    <t>Keanu Osama Al Jabbar</t>
  </si>
  <si>
    <t>Saibudin Soleh</t>
  </si>
  <si>
    <t>GIS BLOK Q6/23</t>
  </si>
  <si>
    <t>S015</t>
  </si>
  <si>
    <t>Kenzie Fabbiyan Armana Sipayung</t>
  </si>
  <si>
    <t>Ihwan Arifudin</t>
  </si>
  <si>
    <t>GIS BLOK N9/3</t>
  </si>
  <si>
    <t>S016</t>
  </si>
  <si>
    <t>Khawla Nizia Anwar</t>
  </si>
  <si>
    <t>Wagiman</t>
  </si>
  <si>
    <t>GIS BLOK B2/18</t>
  </si>
  <si>
    <t>S017</t>
  </si>
  <si>
    <t>M. Azka Putra Ananta</t>
  </si>
  <si>
    <t>L. Ananta Sigit Sidharta</t>
  </si>
  <si>
    <t>GIS BLOK U2/8</t>
  </si>
  <si>
    <t>S018</t>
  </si>
  <si>
    <t>M. Azki Putra Ananta</t>
  </si>
  <si>
    <t>S019</t>
  </si>
  <si>
    <t>M. Dhaffin Al Haqqi</t>
  </si>
  <si>
    <t>Asep Agus Salim</t>
  </si>
  <si>
    <t>GIS BLOK P3/5</t>
  </si>
  <si>
    <t>S020</t>
  </si>
  <si>
    <t>M. Nazhif Alfarizqi</t>
  </si>
  <si>
    <t>Muhammad Zen</t>
  </si>
  <si>
    <t>GIS BLOK L2/10</t>
  </si>
  <si>
    <t>S021</t>
  </si>
  <si>
    <t>Mainaka Syailendra Firmansyah</t>
  </si>
  <si>
    <t>Meidi Firmansyah</t>
  </si>
  <si>
    <t>Kp. Cibinong RT 3/5</t>
  </si>
  <si>
    <t>S022</t>
  </si>
  <si>
    <t>Muhammad Al Farizzi</t>
  </si>
  <si>
    <t>Ricky Rosadi</t>
  </si>
  <si>
    <t>GIS BLOK L5/23</t>
  </si>
  <si>
    <t>S035</t>
  </si>
  <si>
    <t>Muhammad Syabil Al Farizky</t>
  </si>
  <si>
    <t>Ade Kurniahu</t>
  </si>
  <si>
    <t>GIS BLOK Q4/29</t>
  </si>
  <si>
    <t>S023</t>
  </si>
  <si>
    <t>Muhammad Zafran Aditya</t>
  </si>
  <si>
    <t>Dhimas Aditya</t>
  </si>
  <si>
    <t>GIS BLOK A5/20</t>
  </si>
  <si>
    <t>S024</t>
  </si>
  <si>
    <t>Nakula Putra Obhay</t>
  </si>
  <si>
    <t>Muhammad</t>
  </si>
  <si>
    <t>GIS BLOK R10/16</t>
  </si>
  <si>
    <t>S025</t>
  </si>
  <si>
    <t>Naufal Al Fauzan</t>
  </si>
  <si>
    <t>Niko Rosadi</t>
  </si>
  <si>
    <t>GIS BLOK L5/18</t>
  </si>
  <si>
    <t>S026</t>
  </si>
  <si>
    <t>Naura Aini Ramadhani</t>
  </si>
  <si>
    <t>Sutrisno</t>
  </si>
  <si>
    <t>GIS BLOK Q2/1</t>
  </si>
  <si>
    <t>S027</t>
  </si>
  <si>
    <t>Nicholas Al Farizi</t>
  </si>
  <si>
    <t>Dwi Bassri</t>
  </si>
  <si>
    <t>GIS BLOK H2/16</t>
  </si>
  <si>
    <t>S028</t>
  </si>
  <si>
    <t>R. M. Alfarizi Aidil Muntoro</t>
  </si>
  <si>
    <t>Sari Muntoro</t>
  </si>
  <si>
    <t>GIS BLOK I7/10</t>
  </si>
  <si>
    <t>S029</t>
  </si>
  <si>
    <t>Rafif Fatir Andriansyah</t>
  </si>
  <si>
    <t>Azmi Firli Andriansyah</t>
  </si>
  <si>
    <t>GIS BLOK N2/5</t>
  </si>
  <si>
    <t>S030</t>
  </si>
  <si>
    <t>Raga Azki Setyawan</t>
  </si>
  <si>
    <t>Rangga Setyawan</t>
  </si>
  <si>
    <t>Kp. Glusur RT 1/9/66</t>
  </si>
  <si>
    <t>S038</t>
  </si>
  <si>
    <t>Raja Azki Setyawan</t>
  </si>
  <si>
    <t>S031</t>
  </si>
  <si>
    <t>Raissa Salsabila Aisy</t>
  </si>
  <si>
    <t>Umarudin</t>
  </si>
  <si>
    <t>GIS BLOK G2/7</t>
  </si>
  <si>
    <t>S032</t>
  </si>
  <si>
    <t>Rasyid Al Fakhri Rohim</t>
  </si>
  <si>
    <t>Fahmi</t>
  </si>
  <si>
    <t>GIS N5/11</t>
  </si>
  <si>
    <t>S033</t>
  </si>
  <si>
    <t>Sadewa Putra Obhay</t>
  </si>
  <si>
    <t>S034</t>
  </si>
  <si>
    <t>Shanum Eishal Aisyah</t>
  </si>
  <si>
    <t>Hartanto</t>
  </si>
  <si>
    <t>GIS BLOK K20/3</t>
  </si>
  <si>
    <t>S036</t>
  </si>
  <si>
    <t>Tsania Fitri Zulkifli</t>
  </si>
  <si>
    <t>Ridwanullah Mua'fa</t>
  </si>
  <si>
    <t>GIS BLOK B1/11</t>
  </si>
  <si>
    <t>kode_import_tagihan</t>
  </si>
  <si>
    <t>jenis_tagihan</t>
  </si>
  <si>
    <t>bulan_tahun</t>
  </si>
  <si>
    <t>nama_tagihan</t>
  </si>
  <si>
    <t>jumlah_total</t>
  </si>
  <si>
    <t>nominal_diskon</t>
  </si>
  <si>
    <t>jatuh_tempo</t>
  </si>
  <si>
    <t>bisa_cicil</t>
  </si>
  <si>
    <t>spp</t>
  </si>
  <si>
    <t>SPP Juli</t>
  </si>
  <si>
    <t>SPP Agustus</t>
  </si>
  <si>
    <t>SPP September</t>
  </si>
  <si>
    <t>SPP Oktober</t>
  </si>
  <si>
    <t>SPP November</t>
  </si>
  <si>
    <t>SPP Desember</t>
  </si>
  <si>
    <t>SPP Januari</t>
  </si>
  <si>
    <t>SPP Februari</t>
  </si>
  <si>
    <t>SPP Maret</t>
  </si>
  <si>
    <t>S037</t>
  </si>
  <si>
    <t>kode_import_pembayaran</t>
  </si>
  <si>
    <t>tanggal_pembayaran</t>
  </si>
  <si>
    <t>jumlah</t>
  </si>
  <si>
    <t>metode_pembayaran</t>
  </si>
  <si>
    <t>catatan</t>
  </si>
  <si>
    <t>T002</t>
  </si>
  <si>
    <t>Tunai</t>
  </si>
  <si>
    <t>P002</t>
  </si>
  <si>
    <t>T001</t>
  </si>
  <si>
    <t>Transfer</t>
  </si>
  <si>
    <t>jenis_tagihan_aktif</t>
  </si>
  <si>
    <t>metode_pembayaran_aktif</t>
  </si>
  <si>
    <t>promo_aktif</t>
  </si>
  <si>
    <t>kelas_aktif</t>
  </si>
  <si>
    <t>aktif/keluar</t>
  </si>
  <si>
    <t>awal_tahun/pindahan</t>
  </si>
  <si>
    <t>pindah_sekolah/berhenti_lainnya</t>
  </si>
  <si>
    <t>SPP, Pendaftaran, Daftar Ulang, Kegiatan, Administrasi, Lainnya</t>
  </si>
  <si>
    <t>Tunai, Transfer, Tabungan</t>
  </si>
  <si>
    <t>Tidak ada</t>
  </si>
  <si>
    <t>Kelompok Bermain/Mawar, TK B/Melati, TK A/Anggrek</t>
  </si>
  <si>
    <t>SPP April</t>
  </si>
  <si>
    <t>SPP Mei</t>
  </si>
  <si>
    <t>SPP Juni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</si>
  <si>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</si>
  <si>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</si>
  <si>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</si>
  <si>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</si>
  <si>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</si>
  <si>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</si>
  <si>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</si>
  <si>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</si>
  <si>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</si>
  <si>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</si>
  <si>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</si>
  <si>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</si>
  <si>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</si>
  <si>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</si>
  <si>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</si>
  <si>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</si>
  <si>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</si>
  <si>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</si>
  <si>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</si>
  <si>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</si>
  <si>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</si>
  <si>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</si>
  <si>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</si>
  <si>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</si>
  <si>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</si>
  <si>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</si>
  <si>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</si>
  <si>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T107</t>
  </si>
  <si>
    <t>T117</t>
  </si>
  <si>
    <t>T118</t>
  </si>
  <si>
    <t>T119</t>
  </si>
  <si>
    <t>T120</t>
  </si>
  <si>
    <t>T121</t>
  </si>
  <si>
    <t>T122</t>
  </si>
  <si>
    <t>T123</t>
  </si>
  <si>
    <t>T124</t>
  </si>
  <si>
    <t>T133</t>
  </si>
  <si>
    <t>T134</t>
  </si>
  <si>
    <t>T135</t>
  </si>
  <si>
    <t>T136</t>
  </si>
  <si>
    <t>T137</t>
  </si>
  <si>
    <t>T138</t>
  </si>
  <si>
    <t>T140</t>
  </si>
  <si>
    <t>T141</t>
  </si>
  <si>
    <t>T142</t>
  </si>
  <si>
    <t>T143</t>
  </si>
  <si>
    <t>T144</t>
  </si>
  <si>
    <t>T145</t>
  </si>
  <si>
    <t>T146</t>
  </si>
  <si>
    <t>T147</t>
  </si>
  <si>
    <t>T150</t>
  </si>
  <si>
    <t>T151</t>
  </si>
  <si>
    <t>T152</t>
  </si>
  <si>
    <t>T153</t>
  </si>
  <si>
    <t>T154</t>
  </si>
  <si>
    <t>T155</t>
  </si>
  <si>
    <t>T156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</si>
  <si>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</si>
  <si>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</si>
  <si>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</si>
  <si>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</si>
  <si>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</si>
  <si>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</si>
  <si>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</si>
  <si>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</si>
  <si>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</si>
  <si>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</si>
  <si>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</si>
  <si>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</si>
  <si>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</si>
  <si>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</si>
  <si>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</si>
  <si>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</si>
  <si>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</si>
  <si>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</si>
  <si>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</si>
  <si>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</si>
  <si>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</si>
  <si>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</si>
  <si>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</si>
  <si>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</si>
  <si>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</si>
  <si>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</si>
  <si>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</si>
  <si>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</si>
  <si>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</si>
  <si>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</si>
  <si>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</si>
  <si>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</si>
  <si>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</si>
  <si>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</si>
  <si>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</si>
  <si>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</si>
  <si>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</si>
  <si>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</si>
  <si>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</si>
  <si>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</si>
  <si>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</si>
  <si>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</si>
  <si>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</si>
  <si>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</si>
  <si>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</si>
  <si>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</si>
  <si>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</si>
  <si>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</si>
  <si>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</si>
  <si>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</si>
  <si>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</si>
  <si>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</si>
  <si>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</si>
  <si>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</si>
  <si>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</si>
  <si>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</si>
  <si>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</si>
  <si>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P003</t>
  </si>
  <si>
    <t>P004</t>
  </si>
  <si>
    <t>P005</t>
  </si>
  <si>
    <t>P006</t>
  </si>
  <si>
    <t>P007</t>
  </si>
  <si>
    <t>P008</t>
  </si>
  <si>
    <t>P009</t>
  </si>
  <si>
    <t>P010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</si>
  <si>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</si>
  <si>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</si>
  <si>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</si>
  <si>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</si>
  <si>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</si>
  <si>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</si>
  <si>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</si>
  <si>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</si>
  <si>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</si>
  <si>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</si>
  <si>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</si>
  <si>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</si>
  <si>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</si>
  <si>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</si>
  <si>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</si>
  <si>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</si>
  <si>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</si>
  <si>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</si>
  <si>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</si>
  <si>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</si>
  <si>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</si>
  <si>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</si>
  <si>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</si>
  <si>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</si>
  <si>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</si>
  <si>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</si>
  <si>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</si>
  <si>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P042</t>
  </si>
  <si>
    <t>P043</t>
  </si>
  <si>
    <t>P044</t>
  </si>
  <si>
    <t>P045</t>
  </si>
  <si>
    <t>P046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</si>
  <si>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</si>
  <si>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</si>
  <si>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</si>
  <si>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</si>
  <si>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</si>
  <si>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</si>
  <si>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</si>
  <si>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</si>
  <si>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</si>
  <si>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</si>
  <si>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</si>
  <si>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</si>
  <si>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</si>
  <si>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</si>
  <si>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</si>
  <si>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</si>
  <si>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</si>
  <si>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</si>
  <si>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P067</t>
  </si>
  <si>
    <t>P068</t>
  </si>
  <si>
    <t>P069</t>
  </si>
  <si>
    <t>P070</t>
  </si>
  <si>
    <t>P071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</si>
  <si>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</si>
  <si>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</si>
  <si>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</si>
  <si>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</si>
  <si>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</si>
  <si>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</si>
  <si>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</si>
  <si>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</si>
  <si>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</si>
  <si>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</si>
  <si>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</si>
  <si>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</si>
  <si>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</si>
  <si>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</si>
  <si>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</si>
  <si>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</si>
  <si>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</si>
  <si>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</si>
  <si>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</si>
  <si>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</si>
  <si>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</si>
  <si>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</si>
  <si>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</si>
  <si>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</si>
  <si>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</si>
  <si>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</si>
  <si>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</si>
  <si>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</si>
  <si>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</si>
  <si>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</si>
  <si>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</si>
  <si>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</si>
  <si>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</si>
  <si>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</si>
  <si>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</si>
  <si>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</si>
  <si>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</si>
  <si>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</si>
  <si>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P130</t>
  </si>
  <si>
    <t>P131</t>
  </si>
  <si>
    <t>P132</t>
  </si>
  <si>
    <t>P133</t>
  </si>
  <si>
    <t>P134</t>
  </si>
  <si>
    <t>P135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</si>
  <si>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</si>
  <si>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</si>
  <si>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</si>
  <si>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</si>
  <si>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</si>
  <si>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</si>
  <si>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</si>
  <si>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</si>
  <si>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</si>
  <si>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</si>
  <si>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</si>
  <si>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</si>
  <si>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</si>
  <si>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</si>
  <si>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</si>
  <si>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</si>
  <si>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</si>
  <si>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</si>
  <si>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</si>
  <si>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</si>
  <si>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</si>
  <si>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</si>
  <si>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</si>
  <si>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</si>
  <si>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</si>
  <si>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</si>
  <si>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</si>
  <si>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</si>
  <si>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</si>
  <si>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</si>
  <si>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</si>
  <si>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</si>
  <si>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</si>
  <si>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</si>
  <si>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</si>
  <si>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</si>
  <si>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</si>
  <si>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</si>
  <si>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</si>
  <si>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</si>
  <si>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</si>
  <si>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</si>
  <si>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</si>
  <si>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</si>
  <si>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</si>
  <si>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</si>
  <si>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</si>
  <si>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</si>
  <si>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</si>
  <si>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</si>
  <si>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</si>
  <si>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</si>
  <si>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</si>
  <si>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</si>
  <si>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</si>
  <si>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</si>
  <si>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</si>
  <si>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</si>
  <si>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</si>
  <si>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</si>
  <si>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</si>
  <si>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</si>
  <si>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</si>
  <si>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</si>
  <si>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</si>
  <si>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</si>
  <si>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</si>
  <si>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</si>
  <si>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</si>
  <si>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</si>
  <si>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</si>
  <si>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</si>
  <si>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</si>
  <si>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</si>
  <si>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</si>
  <si>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</si>
  <si>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</si>
  <si>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P221</t>
  </si>
  <si>
    <t>P222</t>
  </si>
  <si>
    <t>P223</t>
  </si>
  <si>
    <t>P224</t>
  </si>
  <si>
    <t>P225</t>
  </si>
  <si>
    <t>P227</t>
  </si>
  <si>
    <t>P228</t>
  </si>
  <si>
    <t>P229</t>
  </si>
  <si>
    <t>P230</t>
  </si>
  <si>
    <t>P231</t>
  </si>
  <si>
    <t>P232</t>
  </si>
  <si>
    <t>P233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</si>
  <si>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</si>
  <si>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</si>
  <si>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</si>
  <si>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</si>
  <si>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</si>
  <si>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</si>
  <si>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</si>
  <si>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</si>
  <si>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</si>
  <si>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</si>
  <si>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</si>
  <si>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</si>
  <si>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</si>
  <si>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</si>
  <si>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</si>
  <si>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</si>
  <si>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</si>
  <si>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</si>
  <si>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P255</t>
  </si>
  <si>
    <t>P256</t>
  </si>
  <si>
    <t>P257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</si>
  <si>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</si>
  <si>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</si>
  <si>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</si>
  <si>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</si>
  <si>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</si>
  <si>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</si>
  <si>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</si>
  <si>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</si>
  <si>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</si>
  <si>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</si>
  <si>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</si>
  <si>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</si>
  <si>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</si>
  <si>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</si>
  <si>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</si>
  <si>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</si>
  <si>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</si>
  <si>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</si>
  <si>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</si>
  <si>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</si>
  <si>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</si>
  <si>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</si>
  <si>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</si>
  <si>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</si>
  <si>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</si>
  <si>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</si>
  <si>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</si>
  <si>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</si>
  <si>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</si>
  <si>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</si>
  <si>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</si>
  <si>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</si>
  <si>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</si>
  <si>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</si>
  <si>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</si>
  <si>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</si>
  <si>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</si>
  <si>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</si>
  <si>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</si>
  <si>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</si>
  <si>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</si>
  <si>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</si>
  <si>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</si>
  <si>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</si>
  <si>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</si>
  <si>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</si>
  <si>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P309</t>
  </si>
  <si>
    <t>P310</t>
  </si>
  <si>
    <t>P311</t>
  </si>
  <si>
    <t>P312</t>
  </si>
  <si>
    <t>P313</t>
  </si>
  <si>
    <t>P314</t>
  </si>
  <si>
    <t>P315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</si>
  <si>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</si>
  <si>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</si>
  <si>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</si>
  <si>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</si>
  <si>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</si>
  <si>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</si>
  <si>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</si>
  <si>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</si>
  <si>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</si>
  <si>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</si>
  <si>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</si>
  <si>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</si>
  <si>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</si>
  <si>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</si>
  <si>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</si>
  <si>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</si>
  <si>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</si>
  <si>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</si>
  <si>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</si>
  <si>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</si>
  <si>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</si>
  <si>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</si>
  <si>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</si>
  <si>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</si>
  <si>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</si>
  <si>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</si>
  <si>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</si>
  <si>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Tabungan</t>
  </si>
  <si>
    <t>fariz</t>
  </si>
  <si>
    <t>al</t>
  </si>
  <si>
    <t>Kegiatan</t>
  </si>
  <si>
    <t>Porseni 2025/2026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</si>
  <si>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</si>
  <si>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</si>
  <si>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</si>
  <si>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</si>
  <si>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</si>
  <si>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</si>
  <si>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</si>
  <si>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</si>
  <si>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</si>
  <si>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</si>
  <si>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</si>
  <si>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</si>
  <si>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</si>
  <si>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</si>
  <si>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</si>
  <si>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</si>
  <si>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</si>
  <si>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T086</t>
  </si>
  <si>
    <t>T096</t>
  </si>
  <si>
    <t>T106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</si>
  <si>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</si>
  <si>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</si>
  <si>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</si>
  <si>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</si>
  <si>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</si>
  <si>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</si>
  <si>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</si>
  <si>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</si>
  <si>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</si>
  <si>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T131</t>
  </si>
  <si>
    <t>T132</t>
  </si>
  <si>
    <t>T139</t>
  </si>
  <si>
    <t>T148</t>
  </si>
  <si>
    <t>T149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</si>
  <si>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</si>
  <si>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</si>
  <si>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</si>
  <si>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</si>
  <si>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</si>
  <si>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</si>
  <si>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</si>
  <si>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</si>
  <si>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</si>
  <si>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</si>
  <si>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</si>
  <si>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</si>
  <si>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</si>
  <si>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</si>
  <si>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</si>
  <si>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</si>
  <si>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</si>
  <si>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</si>
  <si>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</si>
  <si>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</si>
  <si>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</si>
  <si>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</si>
  <si>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</si>
  <si>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</si>
  <si>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</si>
  <si>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</si>
  <si>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</si>
  <si>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</si>
  <si>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</si>
  <si>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</si>
  <si>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</si>
  <si>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</si>
  <si>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</si>
  <si>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</si>
  <si>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</si>
  <si>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</si>
  <si>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</si>
  <si>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</si>
  <si>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</si>
  <si>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</si>
  <si>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</si>
  <si>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</si>
  <si>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</si>
  <si>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</si>
  <si>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</si>
  <si>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</si>
  <si>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</si>
  <si>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</si>
  <si>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</si>
  <si>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</si>
  <si>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</si>
  <si>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</si>
  <si>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</si>
  <si>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</si>
  <si>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</si>
  <si>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</si>
  <si>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</si>
  <si>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</si>
  <si>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</si>
  <si>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</si>
  <si>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</si>
  <si>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</si>
  <si>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</si>
  <si>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</si>
  <si>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</si>
  <si>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</si>
  <si>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</si>
  <si>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</si>
  <si>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</si>
  <si>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</si>
  <si>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</si>
  <si>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</si>
  <si>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</si>
  <si>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</si>
  <si>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</si>
  <si>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</si>
  <si>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</si>
  <si>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</si>
  <si>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</si>
  <si>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</si>
  <si>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</si>
  <si>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</si>
  <si>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</si>
  <si>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</si>
  <si>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</si>
  <si>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</si>
  <si>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</si>
  <si>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</si>
  <si>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</si>
  <si>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</si>
  <si>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</si>
  <si>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</si>
  <si>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</si>
  <si>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</si>
  <si>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</si>
  <si>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</si>
  <si>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</si>
  <si>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</si>
  <si>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</si>
  <si>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</si>
  <si>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</si>
  <si>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</si>
  <si>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</si>
  <si>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</si>
  <si>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</si>
  <si>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</si>
  <si>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</si>
  <si>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</si>
  <si>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</si>
  <si>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</si>
  <si>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</si>
  <si>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</si>
  <si>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</si>
  <si>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</si>
  <si>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</si>
  <si>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</si>
  <si>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</si>
  <si>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</si>
  <si>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</si>
  <si>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</si>
  <si>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</si>
  <si>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</si>
  <si>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</si>
  <si>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</si>
  <si>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</si>
  <si>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</si>
  <si>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</si>
  <si>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</si>
  <si>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</si>
  <si>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</si>
  <si>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</si>
  <si>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</si>
  <si>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</si>
  <si>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</si>
  <si>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</si>
  <si>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</si>
  <si>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</si>
  <si>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</si>
  <si>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</si>
  <si>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</si>
  <si>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</si>
  <si>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</si>
  <si>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</si>
  <si>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</si>
  <si>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</si>
  <si>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</si>
  <si>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</si>
  <si>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</si>
  <si>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</si>
  <si>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</si>
  <si>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</si>
  <si>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</si>
  <si>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</si>
  <si>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</si>
  <si>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</si>
  <si>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</si>
  <si>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</si>
  <si>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</si>
  <si>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</si>
  <si>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</si>
  <si>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</si>
  <si>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</si>
  <si>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</si>
  <si>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</si>
  <si>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</si>
  <si>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</si>
  <si>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</si>
  <si>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</si>
  <si>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</si>
  <si>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</si>
  <si>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</si>
  <si>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</si>
  <si>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</si>
  <si>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</si>
  <si>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</si>
  <si>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</si>
  <si>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</si>
  <si>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</si>
  <si>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</si>
  <si>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</si>
  <si>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</si>
  <si>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</si>
  <si>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</si>
  <si>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</si>
  <si>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</si>
  <si>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</si>
  <si>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</si>
  <si>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</si>
  <si>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</si>
  <si>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</si>
  <si>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</si>
  <si>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</si>
  <si>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</si>
  <si>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</si>
  <si>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</si>
  <si>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</si>
  <si>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</si>
  <si>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</si>
  <si>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</si>
  <si>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</si>
  <si>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</si>
  <si>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</si>
  <si>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</si>
  <si>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</si>
  <si>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</si>
  <si>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</si>
  <si>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</si>
  <si>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</si>
  <si>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</si>
  <si>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</si>
  <si>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</si>
  <si>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</si>
  <si>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</si>
  <si>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</si>
  <si>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</si>
  <si>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</si>
  <si>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</si>
  <si>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</si>
  <si>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</si>
  <si>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transfer</t>
  </si>
  <si>
    <t>Field Trip 2025/2026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</si>
  <si>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</si>
  <si>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</si>
  <si>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</si>
  <si>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</si>
  <si>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</si>
  <si>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</si>
  <si>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</si>
  <si>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</si>
  <si>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</si>
  <si>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</si>
  <si>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</si>
  <si>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</si>
  <si>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</si>
  <si>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</si>
  <si>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</si>
  <si>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</si>
  <si>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</si>
  <si>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</si>
  <si>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</si>
  <si>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</si>
  <si>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tunai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</si>
  <si>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</si>
  <si>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</si>
  <si>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</si>
  <si>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</si>
  <si>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</si>
  <si>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</si>
  <si>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</si>
  <si>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</si>
  <si>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</si>
  <si>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</si>
  <si>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</si>
  <si>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</si>
  <si>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</si>
  <si>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</si>
  <si>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</si>
  <si>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</si>
  <si>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</si>
  <si>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</si>
  <si>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</si>
  <si>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</si>
  <si>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</si>
  <si>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</si>
  <si>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</si>
  <si>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</si>
  <si>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</si>
  <si>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</si>
  <si>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</si>
  <si>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</si>
  <si>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</si>
  <si>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</si>
  <si>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</si>
  <si>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</si>
  <si>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</si>
  <si>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</si>
  <si>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</si>
  <si>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</si>
  <si>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</si>
  <si>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</si>
  <si>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</si>
  <si>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</si>
  <si>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</si>
  <si>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</si>
  <si>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</si>
  <si>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</si>
  <si>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</si>
  <si>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</si>
  <si>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</si>
  <si>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</si>
  <si>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</si>
  <si>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</si>
  <si>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</si>
  <si>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</si>
  <si>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</si>
  <si>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</si>
  <si>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Administrasi</t>
  </si>
  <si>
    <t>Rapor 2025/2026</t>
  </si>
  <si>
    <t>Rapor 2025/2027</t>
  </si>
  <si>
    <t>Rapor 2025/2028</t>
  </si>
  <si>
    <t>Rapor 2025/2029</t>
  </si>
  <si>
    <t>Rapor 2025/2030</t>
  </si>
  <si>
    <t>Rapor 2025/2031</t>
  </si>
  <si>
    <t>Rapor 2025/2032</t>
  </si>
  <si>
    <t>Rapor 2025/2033</t>
  </si>
  <si>
    <t>Rapor 2025/2034</t>
  </si>
  <si>
    <t>Rapor 2025/2035</t>
  </si>
  <si>
    <t>Rapor 2025/2036</t>
  </si>
  <si>
    <t>Rapor 2025/2037</t>
  </si>
  <si>
    <t>Rapor 2025/2038</t>
  </si>
  <si>
    <t>Rapor 2025/2039</t>
  </si>
  <si>
    <t>Rapor 2025/2040</t>
  </si>
  <si>
    <t>Rapor 2025/2041</t>
  </si>
  <si>
    <t>Rapor 2025/2042</t>
  </si>
  <si>
    <t>Rapor 2025/2043</t>
  </si>
  <si>
    <t>Rapor 2025/2044</t>
  </si>
  <si>
    <t>Rapor 2025/2045</t>
  </si>
  <si>
    <t>Rapor 2025/2046</t>
  </si>
  <si>
    <t>Rapor 2025/2047</t>
  </si>
  <si>
    <t>Rapor 2025/2048</t>
  </si>
  <si>
    <t>Rapor 2025/2049</t>
  </si>
  <si>
    <t>Rapor 2025/2050</t>
  </si>
  <si>
    <t>Rapor 2025/2051</t>
  </si>
  <si>
    <t>Rapor 2025/2052</t>
  </si>
  <si>
    <t>Rapor 2025/2053</t>
  </si>
  <si>
    <t>Rapor 2025/2054</t>
  </si>
  <si>
    <t>Rapor 2025/2055</t>
  </si>
  <si>
    <t>Rapor 2025/2056</t>
  </si>
  <si>
    <t>Rapor 2025/2057</t>
  </si>
  <si>
    <t>Rapor 2025/2058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</si>
  <si>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</si>
  <si>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</si>
  <si>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</si>
  <si>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</si>
  <si>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</si>
  <si>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</si>
  <si>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</si>
  <si>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</si>
  <si>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</si>
  <si>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</si>
  <si>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</si>
  <si>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</si>
  <si>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</si>
  <si>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</si>
  <si>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Manasik Haji 2025/2026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</si>
  <si>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</si>
  <si>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</si>
  <si>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</si>
  <si>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</si>
  <si>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</si>
  <si>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</si>
  <si>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</si>
  <si>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</si>
  <si>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</si>
  <si>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</si>
  <si>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</si>
  <si>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</si>
  <si>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</si>
  <si>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</si>
  <si>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</si>
  <si>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</si>
  <si>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</si>
  <si>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</si>
  <si>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</si>
  <si>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</si>
  <si>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</si>
  <si>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</si>
  <si>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</si>
  <si>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</si>
  <si>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</si>
  <si>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</si>
  <si>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</si>
  <si>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</si>
  <si>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</si>
  <si>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</si>
  <si>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</si>
  <si>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</si>
  <si>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</si>
  <si>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</si>
  <si>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T427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</si>
  <si>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</si>
  <si>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</si>
  <si>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</si>
  <si>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</si>
  <si>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</si>
  <si>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</si>
  <si>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</si>
  <si>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</si>
  <si>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</si>
  <si>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</si>
  <si>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</si>
  <si>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</si>
  <si>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</si>
  <si>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</si>
  <si>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T428</t>
  </si>
  <si>
    <t>T429</t>
  </si>
  <si>
    <t>T430</t>
  </si>
  <si>
    <t>P430</t>
  </si>
  <si>
    <t>P431</t>
  </si>
  <si>
    <t>P432</t>
  </si>
  <si>
    <t>P433</t>
  </si>
  <si>
    <t>tabungan</t>
  </si>
  <si>
    <t>Beasiswa SPP Anak Guru</t>
  </si>
  <si>
    <t>pendaftaran</t>
  </si>
  <si>
    <t>31/4/2026</t>
  </si>
  <si>
    <t>T431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</si>
</sst>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8" formatCode="yyyy\-mm\-dd"/>
  </numFmts>
  <fonts count="6" x14ac:knownFonts="1">
    <font>
      <sz val="12"/>
      <color rgb="FF000000"/>
      <name val="Calibri"/>
      <family val="2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0" fillId="0" borderId="0" xfId="0" applyNumberFormat="1"/>
    <xf numFmtId="168" fontId="5" fillId="0" borderId="0" xfId="0" applyNumberFormat="1" applyFont="1"/>
    <xf numFmtId="168" fontId="4" fillId="0" borderId="2" xfId="0" applyNumberFormat="1" applyFont="1" applyBorder="1" applyAlignment="1">
      <alignment horizontal="right" wrapText="1"/>
    </xf>
    <xf numFmtId="168" fontId="4" fillId="0" borderId="2" xfId="0" applyNumberFormat="1" applyFont="1" applyBorder="1" applyAlignment="1">
      <alignment wrapText="1"/>
    </xf>
    <xf numFmtId="168" fontId="0" fillId="0" borderId="0" xfId="0" applyNumberFormat="1"/>
    <xf numFmtId="168" fontId="4" fillId="0" borderId="0" xfId="0" applyNumberFormat="1" applyFont="1"/>
    <xf numFmtId="168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/>
  </sheetViews>
  <sheetFormatPr defaultColWidth="8.625"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zoomScale="70" zoomScaleNormal="70" workbookViewId="0">
      <selection activeCell="K2" sqref="K2:K39"/>
    </sheetView>
  </sheetViews>
  <sheetFormatPr defaultColWidth="8.625" defaultRowHeight="15.75" x14ac:dyDescent="0.25"/>
  <cols>
    <col min="1" max="1" width="22.75" customWidth="1"/>
    <col min="2" max="2" width="9.75" bestFit="1" customWidth="1"/>
    <col min="3" max="3" width="23" customWidth="1"/>
    <col min="4" max="4" width="11.625" customWidth="1"/>
    <col min="5" max="5" width="12.125" customWidth="1"/>
    <col min="6" max="6" width="15.75" customWidth="1"/>
    <col min="7" max="7" width="13" customWidth="1"/>
    <col min="8" max="8" width="16.875" customWidth="1"/>
    <col min="9" max="9" width="6.375" customWidth="1"/>
    <col min="10" max="10" width="11" customWidth="1"/>
    <col min="11" max="11" width="13" customWidth="1"/>
    <col min="12" max="12" width="6.5" customWidth="1"/>
    <col min="13" max="13" width="5.125" customWidth="1"/>
    <col min="14" max="14" width="13.125" customWidth="1"/>
    <col min="15" max="15" width="15.875" customWidth="1"/>
    <col min="16" max="16" width="14.875" customWidth="1"/>
    <col min="17" max="17" width="21.5" customWidth="1"/>
    <col min="18" max="18" width="21.375" customWidth="1"/>
  </cols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ht="30" x14ac:dyDescent="0.25">
      <c r="A2" t="s">
        <v>20</v>
      </c>
      <c r="B2">
        <v>2526001</v>
      </c>
      <c r="C2" s="1" t="s">
        <v>21</v>
      </c>
      <c r="D2" s="2">
        <v>44139</v>
      </c>
      <c r="E2" s="1" t="s">
        <v>22</v>
      </c>
      <c r="F2" s="3" t="s">
        <v>23</v>
      </c>
      <c r="G2" t="s">
        <v>24</v>
      </c>
      <c r="H2" s="3" t="s">
        <v>25</v>
      </c>
      <c r="I2" t="s">
        <v>26</v>
      </c>
      <c r="J2" t="s">
        <v>27</v>
      </c>
      <c r="K2" s="10">
        <v>45839</v>
      </c>
      <c r="L2" s="1" t="s">
        <v>28</v>
      </c>
      <c r="M2" s="1" t="s">
        <v>28</v>
      </c>
    </row>
    <row r="3" spans="1:18" ht="30" x14ac:dyDescent="0.25">
      <c r="A3" t="s">
        <v>29</v>
      </c>
      <c r="B3">
        <v>2526002</v>
      </c>
      <c r="C3" s="1" t="s">
        <v>30</v>
      </c>
      <c r="D3" s="2">
        <v>43867</v>
      </c>
      <c r="E3" s="1" t="s">
        <v>22</v>
      </c>
      <c r="F3" s="1" t="s">
        <v>31</v>
      </c>
      <c r="H3" s="1" t="s">
        <v>32</v>
      </c>
      <c r="I3" t="s">
        <v>26</v>
      </c>
      <c r="J3" t="s">
        <v>27</v>
      </c>
      <c r="K3" s="10">
        <v>45840</v>
      </c>
      <c r="L3" s="1" t="s">
        <v>33</v>
      </c>
      <c r="M3" s="1" t="s">
        <v>33</v>
      </c>
    </row>
    <row r="4" spans="1:18" x14ac:dyDescent="0.25">
      <c r="A4" t="s">
        <v>34</v>
      </c>
      <c r="B4">
        <v>2526003</v>
      </c>
      <c r="C4" s="1" t="s">
        <v>35</v>
      </c>
      <c r="D4" s="2">
        <v>43649</v>
      </c>
      <c r="E4" s="1" t="s">
        <v>36</v>
      </c>
      <c r="F4" s="1" t="s">
        <v>37</v>
      </c>
      <c r="H4" s="1" t="s">
        <v>38</v>
      </c>
      <c r="I4" t="s">
        <v>26</v>
      </c>
      <c r="J4" t="s">
        <v>27</v>
      </c>
      <c r="K4" s="10">
        <v>45841</v>
      </c>
      <c r="L4" s="1" t="s">
        <v>33</v>
      </c>
      <c r="M4" s="1" t="s">
        <v>33</v>
      </c>
    </row>
    <row r="5" spans="1:18" ht="30" x14ac:dyDescent="0.25">
      <c r="A5" t="s">
        <v>43</v>
      </c>
      <c r="B5">
        <v>2526004</v>
      </c>
      <c r="C5" s="1" t="s">
        <v>44</v>
      </c>
      <c r="D5" s="2">
        <v>44014</v>
      </c>
      <c r="E5" s="1" t="s">
        <v>36</v>
      </c>
      <c r="F5" s="3" t="s">
        <v>45</v>
      </c>
      <c r="H5" s="3" t="s">
        <v>46</v>
      </c>
      <c r="I5" t="s">
        <v>26</v>
      </c>
      <c r="J5" t="s">
        <v>27</v>
      </c>
      <c r="K5" s="10">
        <v>45839</v>
      </c>
      <c r="L5" s="1" t="s">
        <v>28</v>
      </c>
      <c r="M5" s="1" t="s">
        <v>28</v>
      </c>
    </row>
    <row r="6" spans="1:18" x14ac:dyDescent="0.25">
      <c r="A6" t="s">
        <v>47</v>
      </c>
      <c r="B6">
        <v>2526005</v>
      </c>
      <c r="C6" s="5" t="s">
        <v>48</v>
      </c>
      <c r="D6" s="2">
        <v>44356</v>
      </c>
      <c r="E6" s="5" t="s">
        <v>36</v>
      </c>
      <c r="F6" s="6" t="s">
        <v>49</v>
      </c>
      <c r="H6" s="6" t="s">
        <v>50</v>
      </c>
      <c r="I6" t="s">
        <v>51</v>
      </c>
      <c r="J6" t="s">
        <v>27</v>
      </c>
      <c r="K6" s="10">
        <v>45839</v>
      </c>
      <c r="L6" s="5" t="s">
        <v>52</v>
      </c>
      <c r="M6" s="5" t="s">
        <v>52</v>
      </c>
      <c r="N6" s="2">
        <v>45870</v>
      </c>
      <c r="O6" t="s">
        <v>53</v>
      </c>
    </row>
    <row r="7" spans="1:18" x14ac:dyDescent="0.25">
      <c r="A7" t="s">
        <v>54</v>
      </c>
      <c r="B7">
        <v>2526006</v>
      </c>
      <c r="C7" s="1" t="s">
        <v>55</v>
      </c>
      <c r="D7" s="2">
        <v>43886</v>
      </c>
      <c r="E7" s="1" t="s">
        <v>22</v>
      </c>
      <c r="F7" s="1" t="s">
        <v>56</v>
      </c>
      <c r="H7" s="1" t="s">
        <v>57</v>
      </c>
      <c r="I7" t="s">
        <v>26</v>
      </c>
      <c r="J7" t="s">
        <v>27</v>
      </c>
      <c r="K7" s="10">
        <v>45839</v>
      </c>
      <c r="L7" s="1" t="s">
        <v>33</v>
      </c>
      <c r="M7" s="1" t="s">
        <v>33</v>
      </c>
      <c r="P7">
        <v>220000</v>
      </c>
    </row>
    <row r="8" spans="1:18" x14ac:dyDescent="0.25">
      <c r="A8" t="s">
        <v>58</v>
      </c>
      <c r="B8">
        <v>2526007</v>
      </c>
      <c r="C8" s="7" t="s">
        <v>59</v>
      </c>
      <c r="D8" s="2">
        <v>44762</v>
      </c>
      <c r="E8" s="7" t="s">
        <v>36</v>
      </c>
      <c r="F8" s="7" t="s">
        <v>60</v>
      </c>
      <c r="H8" s="3" t="s">
        <v>61</v>
      </c>
      <c r="I8" t="s">
        <v>26</v>
      </c>
      <c r="J8" t="s">
        <v>27</v>
      </c>
      <c r="K8" s="10">
        <v>45839</v>
      </c>
      <c r="L8" s="7" t="s">
        <v>52</v>
      </c>
      <c r="M8" s="7" t="s">
        <v>52</v>
      </c>
    </row>
    <row r="9" spans="1:18" x14ac:dyDescent="0.25">
      <c r="A9" t="s">
        <v>62</v>
      </c>
      <c r="B9">
        <v>2526008</v>
      </c>
      <c r="C9" s="5" t="s">
        <v>63</v>
      </c>
      <c r="D9" s="2">
        <v>43651</v>
      </c>
      <c r="E9" s="5" t="s">
        <v>22</v>
      </c>
      <c r="F9" s="6" t="s">
        <v>64</v>
      </c>
      <c r="H9" s="6" t="s">
        <v>65</v>
      </c>
      <c r="I9" t="s">
        <v>51</v>
      </c>
      <c r="J9" t="s">
        <v>27</v>
      </c>
      <c r="K9" s="10">
        <v>45839</v>
      </c>
      <c r="L9" s="5" t="s">
        <v>33</v>
      </c>
      <c r="M9" s="5" t="s">
        <v>33</v>
      </c>
      <c r="N9" s="2">
        <v>46017</v>
      </c>
      <c r="O9" t="s">
        <v>66</v>
      </c>
    </row>
    <row r="10" spans="1:18" ht="30" x14ac:dyDescent="0.25">
      <c r="A10" t="s">
        <v>67</v>
      </c>
      <c r="B10">
        <v>2526009</v>
      </c>
      <c r="C10" s="1" t="s">
        <v>68</v>
      </c>
      <c r="D10" s="2">
        <v>43779</v>
      </c>
      <c r="E10" s="1" t="s">
        <v>36</v>
      </c>
      <c r="F10" s="1" t="s">
        <v>69</v>
      </c>
      <c r="H10" s="1" t="s">
        <v>70</v>
      </c>
      <c r="I10" t="s">
        <v>26</v>
      </c>
      <c r="J10" t="s">
        <v>27</v>
      </c>
      <c r="K10" s="10">
        <v>45839</v>
      </c>
      <c r="L10" s="1" t="s">
        <v>33</v>
      </c>
      <c r="M10" s="1" t="s">
        <v>33</v>
      </c>
    </row>
    <row r="11" spans="1:18" ht="30" x14ac:dyDescent="0.25">
      <c r="A11" t="s">
        <v>71</v>
      </c>
      <c r="B11">
        <v>23240020</v>
      </c>
      <c r="C11" s="1" t="s">
        <v>72</v>
      </c>
      <c r="D11" s="2">
        <v>44069</v>
      </c>
      <c r="E11" s="1" t="s">
        <v>36</v>
      </c>
      <c r="F11" s="1" t="s">
        <v>73</v>
      </c>
      <c r="H11" s="1" t="s">
        <v>74</v>
      </c>
      <c r="I11" t="s">
        <v>26</v>
      </c>
      <c r="J11" t="s">
        <v>27</v>
      </c>
      <c r="K11" s="10">
        <v>45839</v>
      </c>
      <c r="L11" s="1" t="s">
        <v>28</v>
      </c>
      <c r="M11" s="1" t="s">
        <v>28</v>
      </c>
    </row>
    <row r="12" spans="1:18" x14ac:dyDescent="0.25">
      <c r="A12" t="s">
        <v>75</v>
      </c>
      <c r="B12">
        <v>24250003</v>
      </c>
      <c r="C12" s="1" t="s">
        <v>76</v>
      </c>
      <c r="D12" s="2">
        <v>44018</v>
      </c>
      <c r="E12" s="1" t="s">
        <v>22</v>
      </c>
      <c r="F12" s="1" t="s">
        <v>77</v>
      </c>
      <c r="H12" s="1" t="s">
        <v>78</v>
      </c>
      <c r="I12" t="s">
        <v>26</v>
      </c>
      <c r="J12" t="s">
        <v>27</v>
      </c>
      <c r="K12" s="10">
        <v>45839</v>
      </c>
      <c r="L12" s="1" t="s">
        <v>33</v>
      </c>
      <c r="M12" s="1" t="s">
        <v>33</v>
      </c>
      <c r="P12">
        <v>220000</v>
      </c>
    </row>
    <row r="13" spans="1:18" x14ac:dyDescent="0.25">
      <c r="A13" t="s">
        <v>79</v>
      </c>
      <c r="B13">
        <v>2526010</v>
      </c>
      <c r="C13" s="1" t="s">
        <v>80</v>
      </c>
      <c r="D13" s="2">
        <v>43588</v>
      </c>
      <c r="E13" s="1" t="s">
        <v>36</v>
      </c>
      <c r="F13" s="1" t="s">
        <v>81</v>
      </c>
      <c r="H13" s="1" t="s">
        <v>82</v>
      </c>
      <c r="I13" t="s">
        <v>26</v>
      </c>
      <c r="J13" t="s">
        <v>27</v>
      </c>
      <c r="K13" s="10">
        <v>45839</v>
      </c>
      <c r="L13" s="1" t="s">
        <v>33</v>
      </c>
      <c r="M13" s="1" t="s">
        <v>33</v>
      </c>
    </row>
    <row r="14" spans="1:18" ht="30" x14ac:dyDescent="0.25">
      <c r="A14" t="s">
        <v>83</v>
      </c>
      <c r="B14">
        <v>2526011</v>
      </c>
      <c r="C14" s="1" t="s">
        <v>84</v>
      </c>
      <c r="D14" s="2">
        <v>44086</v>
      </c>
      <c r="E14" s="1" t="s">
        <v>36</v>
      </c>
      <c r="F14" s="1" t="s">
        <v>85</v>
      </c>
      <c r="H14" s="1" t="s">
        <v>86</v>
      </c>
      <c r="I14" t="s">
        <v>26</v>
      </c>
      <c r="J14" t="s">
        <v>27</v>
      </c>
      <c r="K14" s="10">
        <v>45839</v>
      </c>
      <c r="L14" s="1" t="s">
        <v>28</v>
      </c>
      <c r="M14" s="1" t="s">
        <v>28</v>
      </c>
    </row>
    <row r="15" spans="1:18" x14ac:dyDescent="0.25">
      <c r="A15" t="s">
        <v>87</v>
      </c>
      <c r="B15">
        <v>2526012</v>
      </c>
      <c r="C15" s="1" t="s">
        <v>88</v>
      </c>
      <c r="D15" s="2">
        <v>43655</v>
      </c>
      <c r="E15" s="1" t="s">
        <v>22</v>
      </c>
      <c r="F15" s="1" t="s">
        <v>89</v>
      </c>
      <c r="H15" s="1" t="s">
        <v>90</v>
      </c>
      <c r="I15" t="s">
        <v>26</v>
      </c>
      <c r="J15" t="s">
        <v>27</v>
      </c>
      <c r="K15" s="10">
        <v>45839</v>
      </c>
      <c r="L15" s="1" t="s">
        <v>33</v>
      </c>
      <c r="M15" s="1" t="s">
        <v>33</v>
      </c>
    </row>
    <row r="16" spans="1:18" ht="30" x14ac:dyDescent="0.25">
      <c r="A16" t="s">
        <v>91</v>
      </c>
      <c r="B16">
        <v>2526013</v>
      </c>
      <c r="C16" s="1" t="s">
        <v>92</v>
      </c>
      <c r="D16" s="2">
        <v>44246</v>
      </c>
      <c r="E16" s="1" t="s">
        <v>22</v>
      </c>
      <c r="F16" s="3" t="s">
        <v>93</v>
      </c>
      <c r="H16" s="3" t="s">
        <v>94</v>
      </c>
      <c r="I16" t="s">
        <v>26</v>
      </c>
      <c r="J16" t="s">
        <v>27</v>
      </c>
      <c r="K16" s="10">
        <v>45839</v>
      </c>
      <c r="L16" s="1" t="s">
        <v>28</v>
      </c>
      <c r="M16" s="1" t="s">
        <v>28</v>
      </c>
    </row>
    <row r="17" spans="1:16" ht="30" x14ac:dyDescent="0.25">
      <c r="A17" t="s">
        <v>95</v>
      </c>
      <c r="B17">
        <v>2526014</v>
      </c>
      <c r="C17" s="1" t="s">
        <v>96</v>
      </c>
      <c r="D17" s="2">
        <v>44172</v>
      </c>
      <c r="E17" s="1" t="s">
        <v>36</v>
      </c>
      <c r="F17" s="1" t="s">
        <v>97</v>
      </c>
      <c r="H17" s="1" t="s">
        <v>98</v>
      </c>
      <c r="I17" t="s">
        <v>26</v>
      </c>
      <c r="J17" t="s">
        <v>27</v>
      </c>
      <c r="K17" s="10">
        <v>45839</v>
      </c>
      <c r="L17" s="1" t="s">
        <v>28</v>
      </c>
      <c r="M17" s="1" t="s">
        <v>28</v>
      </c>
      <c r="P17">
        <v>220000</v>
      </c>
    </row>
    <row r="18" spans="1:16" ht="30" x14ac:dyDescent="0.25">
      <c r="A18" t="s">
        <v>99</v>
      </c>
      <c r="B18">
        <v>2526015</v>
      </c>
      <c r="C18" s="1" t="s">
        <v>100</v>
      </c>
      <c r="D18" s="2">
        <v>44311</v>
      </c>
      <c r="E18" s="1" t="s">
        <v>22</v>
      </c>
      <c r="F18" s="1" t="s">
        <v>101</v>
      </c>
      <c r="H18" s="1" t="s">
        <v>102</v>
      </c>
      <c r="I18" t="s">
        <v>26</v>
      </c>
      <c r="J18" t="s">
        <v>27</v>
      </c>
      <c r="K18" s="10">
        <v>45839</v>
      </c>
      <c r="L18" s="1" t="s">
        <v>28</v>
      </c>
      <c r="M18" s="1" t="s">
        <v>28</v>
      </c>
    </row>
    <row r="19" spans="1:16" ht="30" x14ac:dyDescent="0.25">
      <c r="A19" t="s">
        <v>103</v>
      </c>
      <c r="B19">
        <v>2526016</v>
      </c>
      <c r="C19" s="1" t="s">
        <v>104</v>
      </c>
      <c r="D19" s="2">
        <v>44311</v>
      </c>
      <c r="E19" s="1" t="s">
        <v>22</v>
      </c>
      <c r="F19" s="1" t="s">
        <v>101</v>
      </c>
      <c r="H19" s="1" t="s">
        <v>102</v>
      </c>
      <c r="I19" t="s">
        <v>26</v>
      </c>
      <c r="J19" t="s">
        <v>27</v>
      </c>
      <c r="K19" s="10">
        <v>45839</v>
      </c>
      <c r="L19" s="1" t="s">
        <v>28</v>
      </c>
      <c r="M19" s="1" t="s">
        <v>28</v>
      </c>
    </row>
    <row r="20" spans="1:16" x14ac:dyDescent="0.25">
      <c r="A20" t="s">
        <v>105</v>
      </c>
      <c r="B20">
        <v>2526017</v>
      </c>
      <c r="C20" s="1" t="s">
        <v>106</v>
      </c>
      <c r="D20" s="2">
        <v>43740</v>
      </c>
      <c r="E20" s="1" t="s">
        <v>22</v>
      </c>
      <c r="F20" s="1" t="s">
        <v>107</v>
      </c>
      <c r="H20" s="1" t="s">
        <v>108</v>
      </c>
      <c r="I20" t="s">
        <v>26</v>
      </c>
      <c r="J20" t="s">
        <v>27</v>
      </c>
      <c r="K20" s="10">
        <v>45839</v>
      </c>
      <c r="L20" s="1" t="s">
        <v>33</v>
      </c>
      <c r="M20" s="1" t="s">
        <v>33</v>
      </c>
    </row>
    <row r="21" spans="1:16" x14ac:dyDescent="0.25">
      <c r="A21" t="s">
        <v>109</v>
      </c>
      <c r="B21">
        <v>24250006</v>
      </c>
      <c r="C21" s="1" t="s">
        <v>110</v>
      </c>
      <c r="D21" s="2">
        <v>43567</v>
      </c>
      <c r="E21" s="1" t="s">
        <v>22</v>
      </c>
      <c r="F21" s="1" t="s">
        <v>111</v>
      </c>
      <c r="H21" s="1" t="s">
        <v>112</v>
      </c>
      <c r="I21" t="s">
        <v>26</v>
      </c>
      <c r="J21" t="s">
        <v>27</v>
      </c>
      <c r="K21" s="10">
        <v>45839</v>
      </c>
      <c r="L21" s="1" t="s">
        <v>33</v>
      </c>
      <c r="M21" s="1" t="s">
        <v>33</v>
      </c>
      <c r="P21">
        <v>200000</v>
      </c>
    </row>
    <row r="22" spans="1:16" ht="30" x14ac:dyDescent="0.25">
      <c r="A22" t="s">
        <v>113</v>
      </c>
      <c r="B22">
        <v>2526018</v>
      </c>
      <c r="C22" s="1" t="s">
        <v>114</v>
      </c>
      <c r="D22" s="2">
        <v>44177</v>
      </c>
      <c r="E22" s="1" t="s">
        <v>22</v>
      </c>
      <c r="F22" s="3" t="s">
        <v>115</v>
      </c>
      <c r="H22" s="3" t="s">
        <v>116</v>
      </c>
      <c r="I22" t="s">
        <v>26</v>
      </c>
      <c r="J22" t="s">
        <v>27</v>
      </c>
      <c r="K22" s="10">
        <v>45839</v>
      </c>
      <c r="L22" s="1" t="s">
        <v>28</v>
      </c>
      <c r="M22" s="1" t="s">
        <v>28</v>
      </c>
    </row>
    <row r="23" spans="1:16" x14ac:dyDescent="0.25">
      <c r="A23" t="s">
        <v>117</v>
      </c>
      <c r="B23">
        <v>2526019</v>
      </c>
      <c r="C23" s="1" t="s">
        <v>118</v>
      </c>
      <c r="D23" s="2">
        <v>43738</v>
      </c>
      <c r="E23" s="1" t="s">
        <v>22</v>
      </c>
      <c r="F23" s="1" t="s">
        <v>119</v>
      </c>
      <c r="H23" s="1" t="s">
        <v>120</v>
      </c>
      <c r="I23" t="s">
        <v>26</v>
      </c>
      <c r="J23" t="s">
        <v>27</v>
      </c>
      <c r="K23" s="10">
        <v>45839</v>
      </c>
      <c r="L23" s="1" t="s">
        <v>33</v>
      </c>
      <c r="M23" s="1" t="s">
        <v>33</v>
      </c>
    </row>
    <row r="24" spans="1:16" x14ac:dyDescent="0.25">
      <c r="A24" t="s">
        <v>125</v>
      </c>
      <c r="B24">
        <v>2526021</v>
      </c>
      <c r="C24" s="5" t="s">
        <v>126</v>
      </c>
      <c r="D24" s="2">
        <v>43840</v>
      </c>
      <c r="E24" s="5" t="s">
        <v>22</v>
      </c>
      <c r="F24" s="6" t="s">
        <v>127</v>
      </c>
      <c r="H24" s="6" t="s">
        <v>128</v>
      </c>
      <c r="I24" t="s">
        <v>51</v>
      </c>
      <c r="J24" t="s">
        <v>27</v>
      </c>
      <c r="K24" s="10">
        <v>45839</v>
      </c>
      <c r="L24" s="6" t="s">
        <v>33</v>
      </c>
      <c r="M24" s="6" t="s">
        <v>33</v>
      </c>
      <c r="N24" s="2">
        <v>46028</v>
      </c>
      <c r="O24" t="s">
        <v>66</v>
      </c>
    </row>
    <row r="25" spans="1:16" ht="30" x14ac:dyDescent="0.25">
      <c r="A25" t="s">
        <v>129</v>
      </c>
      <c r="B25">
        <v>2526022</v>
      </c>
      <c r="C25" s="1" t="s">
        <v>130</v>
      </c>
      <c r="D25" s="2">
        <v>44153</v>
      </c>
      <c r="E25" s="1" t="s">
        <v>22</v>
      </c>
      <c r="F25" s="3" t="s">
        <v>131</v>
      </c>
      <c r="H25" s="3" t="s">
        <v>132</v>
      </c>
      <c r="I25" t="s">
        <v>26</v>
      </c>
      <c r="J25" t="s">
        <v>27</v>
      </c>
      <c r="K25" s="10">
        <v>45839</v>
      </c>
      <c r="L25" s="1" t="s">
        <v>28</v>
      </c>
      <c r="M25" s="1" t="s">
        <v>28</v>
      </c>
    </row>
    <row r="26" spans="1:16" x14ac:dyDescent="0.25">
      <c r="A26" t="s">
        <v>133</v>
      </c>
      <c r="B26">
        <v>2526023</v>
      </c>
      <c r="C26" s="1" t="s">
        <v>134</v>
      </c>
      <c r="D26" s="2">
        <v>43710</v>
      </c>
      <c r="E26" s="1" t="s">
        <v>22</v>
      </c>
      <c r="F26" s="1" t="s">
        <v>135</v>
      </c>
      <c r="H26" s="1" t="s">
        <v>136</v>
      </c>
      <c r="I26" t="s">
        <v>26</v>
      </c>
      <c r="J26" t="s">
        <v>27</v>
      </c>
      <c r="K26" s="10">
        <v>45839</v>
      </c>
      <c r="L26" s="1" t="s">
        <v>33</v>
      </c>
      <c r="M26" s="1" t="s">
        <v>33</v>
      </c>
    </row>
    <row r="27" spans="1:16" x14ac:dyDescent="0.25">
      <c r="A27" t="s">
        <v>137</v>
      </c>
      <c r="B27">
        <v>2526024</v>
      </c>
      <c r="C27" s="1" t="s">
        <v>138</v>
      </c>
      <c r="D27" s="2">
        <v>43967</v>
      </c>
      <c r="E27" s="1" t="s">
        <v>36</v>
      </c>
      <c r="F27" s="1" t="s">
        <v>139</v>
      </c>
      <c r="H27" s="1" t="s">
        <v>140</v>
      </c>
      <c r="I27" t="s">
        <v>26</v>
      </c>
      <c r="J27" t="s">
        <v>27</v>
      </c>
      <c r="K27" s="10">
        <v>45839</v>
      </c>
      <c r="L27" s="1" t="s">
        <v>33</v>
      </c>
      <c r="M27" s="1" t="s">
        <v>33</v>
      </c>
    </row>
    <row r="28" spans="1:16" x14ac:dyDescent="0.25">
      <c r="A28" t="s">
        <v>141</v>
      </c>
      <c r="B28">
        <v>2526025</v>
      </c>
      <c r="C28" s="5" t="s">
        <v>142</v>
      </c>
      <c r="D28" s="2">
        <v>43356</v>
      </c>
      <c r="E28" s="5" t="s">
        <v>22</v>
      </c>
      <c r="F28" s="5" t="s">
        <v>143</v>
      </c>
      <c r="H28" s="5" t="s">
        <v>144</v>
      </c>
      <c r="I28" t="s">
        <v>51</v>
      </c>
      <c r="J28" t="s">
        <v>27</v>
      </c>
      <c r="K28" s="10">
        <v>45839</v>
      </c>
      <c r="L28" s="5" t="s">
        <v>33</v>
      </c>
      <c r="M28" s="5" t="s">
        <v>33</v>
      </c>
      <c r="N28" s="2">
        <v>45965</v>
      </c>
      <c r="O28" t="s">
        <v>66</v>
      </c>
    </row>
    <row r="29" spans="1:16" x14ac:dyDescent="0.25">
      <c r="A29" t="s">
        <v>145</v>
      </c>
      <c r="B29">
        <v>23240021</v>
      </c>
      <c r="C29" s="1" t="s">
        <v>146</v>
      </c>
      <c r="D29" s="2">
        <v>43681</v>
      </c>
      <c r="E29" s="1" t="s">
        <v>22</v>
      </c>
      <c r="F29" s="1" t="s">
        <v>147</v>
      </c>
      <c r="H29" s="1" t="s">
        <v>148</v>
      </c>
      <c r="I29" t="s">
        <v>26</v>
      </c>
      <c r="J29" t="s">
        <v>27</v>
      </c>
      <c r="K29" s="10">
        <v>45839</v>
      </c>
      <c r="L29" s="1" t="s">
        <v>33</v>
      </c>
      <c r="M29" s="1" t="s">
        <v>33</v>
      </c>
      <c r="P29">
        <v>150000</v>
      </c>
    </row>
    <row r="30" spans="1:16" ht="30" x14ac:dyDescent="0.25">
      <c r="A30" t="s">
        <v>149</v>
      </c>
      <c r="B30">
        <v>2526026</v>
      </c>
      <c r="C30" s="1" t="s">
        <v>150</v>
      </c>
      <c r="D30" s="2">
        <v>44797</v>
      </c>
      <c r="E30" s="1" t="s">
        <v>22</v>
      </c>
      <c r="F30" s="1" t="s">
        <v>151</v>
      </c>
      <c r="H30" s="1" t="s">
        <v>152</v>
      </c>
      <c r="I30" t="s">
        <v>26</v>
      </c>
      <c r="J30" t="s">
        <v>27</v>
      </c>
      <c r="K30" s="10">
        <v>45839</v>
      </c>
      <c r="L30" s="1" t="s">
        <v>52</v>
      </c>
      <c r="M30" s="1" t="s">
        <v>52</v>
      </c>
    </row>
    <row r="31" spans="1:16" ht="30" x14ac:dyDescent="0.25">
      <c r="A31" t="s">
        <v>153</v>
      </c>
      <c r="B31">
        <v>2526027</v>
      </c>
      <c r="C31" s="1" t="s">
        <v>154</v>
      </c>
      <c r="D31" s="2">
        <v>44917</v>
      </c>
      <c r="E31" s="1" t="s">
        <v>22</v>
      </c>
      <c r="F31" s="3" t="s">
        <v>155</v>
      </c>
      <c r="H31" s="3" t="s">
        <v>156</v>
      </c>
      <c r="I31" t="s">
        <v>26</v>
      </c>
      <c r="J31" t="s">
        <v>27</v>
      </c>
      <c r="K31" s="10">
        <v>45839</v>
      </c>
      <c r="L31" s="1" t="s">
        <v>52</v>
      </c>
      <c r="M31" s="1" t="s">
        <v>52</v>
      </c>
    </row>
    <row r="32" spans="1:16" x14ac:dyDescent="0.25">
      <c r="A32" t="s">
        <v>159</v>
      </c>
      <c r="B32">
        <v>2526029</v>
      </c>
      <c r="C32" s="1" t="s">
        <v>160</v>
      </c>
      <c r="D32" s="2">
        <v>43804</v>
      </c>
      <c r="E32" s="1" t="s">
        <v>36</v>
      </c>
      <c r="F32" s="3" t="s">
        <v>161</v>
      </c>
      <c r="H32" s="3" t="s">
        <v>162</v>
      </c>
      <c r="I32" t="s">
        <v>26</v>
      </c>
      <c r="J32" t="s">
        <v>27</v>
      </c>
      <c r="K32" s="10">
        <v>45839</v>
      </c>
      <c r="L32" s="1" t="s">
        <v>33</v>
      </c>
      <c r="M32" s="1" t="s">
        <v>33</v>
      </c>
    </row>
    <row r="33" spans="1:13" x14ac:dyDescent="0.25">
      <c r="A33" t="s">
        <v>163</v>
      </c>
      <c r="B33">
        <v>24250006</v>
      </c>
      <c r="C33" s="1" t="s">
        <v>164</v>
      </c>
      <c r="D33" s="2">
        <v>43823</v>
      </c>
      <c r="E33" s="1" t="s">
        <v>22</v>
      </c>
      <c r="F33" s="3" t="s">
        <v>165</v>
      </c>
      <c r="H33" s="3" t="s">
        <v>166</v>
      </c>
      <c r="I33" t="s">
        <v>26</v>
      </c>
      <c r="J33" t="s">
        <v>27</v>
      </c>
      <c r="K33" s="10">
        <v>45839</v>
      </c>
      <c r="L33" s="1" t="s">
        <v>33</v>
      </c>
      <c r="M33" s="1" t="s">
        <v>33</v>
      </c>
    </row>
    <row r="34" spans="1:13" ht="30" x14ac:dyDescent="0.25">
      <c r="A34" t="s">
        <v>167</v>
      </c>
      <c r="B34">
        <v>2526030</v>
      </c>
      <c r="C34" s="1" t="s">
        <v>168</v>
      </c>
      <c r="D34" s="2">
        <v>44153</v>
      </c>
      <c r="E34" s="1" t="s">
        <v>22</v>
      </c>
      <c r="F34" s="3" t="s">
        <v>131</v>
      </c>
      <c r="H34" s="3" t="s">
        <v>132</v>
      </c>
      <c r="I34" t="s">
        <v>26</v>
      </c>
      <c r="J34" t="s">
        <v>27</v>
      </c>
      <c r="K34" s="10">
        <v>45839</v>
      </c>
      <c r="L34" s="1" t="s">
        <v>28</v>
      </c>
      <c r="M34" s="1" t="s">
        <v>28</v>
      </c>
    </row>
    <row r="35" spans="1:13" x14ac:dyDescent="0.25">
      <c r="A35" t="s">
        <v>169</v>
      </c>
      <c r="B35">
        <v>2526031</v>
      </c>
      <c r="C35" s="7" t="s">
        <v>170</v>
      </c>
      <c r="D35" s="2">
        <v>44123</v>
      </c>
      <c r="E35" s="7" t="s">
        <v>36</v>
      </c>
      <c r="F35" s="7" t="s">
        <v>171</v>
      </c>
      <c r="H35" s="7" t="s">
        <v>172</v>
      </c>
      <c r="I35" t="s">
        <v>26</v>
      </c>
      <c r="J35" t="s">
        <v>27</v>
      </c>
      <c r="K35" s="10">
        <v>45839</v>
      </c>
      <c r="L35" s="7" t="s">
        <v>28</v>
      </c>
      <c r="M35" s="7" t="s">
        <v>28</v>
      </c>
    </row>
    <row r="36" spans="1:13" x14ac:dyDescent="0.25">
      <c r="A36" t="s">
        <v>121</v>
      </c>
      <c r="B36">
        <v>2526020</v>
      </c>
      <c r="C36" s="8" t="s">
        <v>122</v>
      </c>
      <c r="D36" s="2">
        <v>44741</v>
      </c>
      <c r="E36" s="8" t="s">
        <v>22</v>
      </c>
      <c r="F36" s="8" t="s">
        <v>123</v>
      </c>
      <c r="H36" s="8" t="s">
        <v>124</v>
      </c>
      <c r="I36" t="s">
        <v>26</v>
      </c>
      <c r="J36" t="s">
        <v>42</v>
      </c>
      <c r="K36" s="10">
        <v>45689</v>
      </c>
      <c r="L36" s="8" t="s">
        <v>52</v>
      </c>
      <c r="M36" s="8" t="s">
        <v>52</v>
      </c>
    </row>
    <row r="37" spans="1:13" x14ac:dyDescent="0.25">
      <c r="A37" t="s">
        <v>173</v>
      </c>
      <c r="B37">
        <v>2526032</v>
      </c>
      <c r="C37" s="7" t="s">
        <v>174</v>
      </c>
      <c r="D37" s="2">
        <v>43986</v>
      </c>
      <c r="E37" s="7" t="s">
        <v>36</v>
      </c>
      <c r="F37" s="7" t="s">
        <v>175</v>
      </c>
      <c r="H37" s="7" t="s">
        <v>176</v>
      </c>
      <c r="I37" t="s">
        <v>26</v>
      </c>
      <c r="J37" t="s">
        <v>42</v>
      </c>
      <c r="K37" s="10">
        <v>45839</v>
      </c>
      <c r="L37" s="7" t="s">
        <v>28</v>
      </c>
      <c r="M37" s="7" t="s">
        <v>28</v>
      </c>
    </row>
    <row r="38" spans="1:13" ht="30" x14ac:dyDescent="0.25">
      <c r="A38" t="s">
        <v>195</v>
      </c>
      <c r="C38" s="1" t="s">
        <v>39</v>
      </c>
      <c r="D38" s="2">
        <v>43832</v>
      </c>
      <c r="E38" s="1" t="s">
        <v>36</v>
      </c>
      <c r="F38" s="3" t="s">
        <v>40</v>
      </c>
      <c r="H38" s="3" t="s">
        <v>41</v>
      </c>
      <c r="I38" t="s">
        <v>26</v>
      </c>
      <c r="J38" s="4" t="s">
        <v>42</v>
      </c>
      <c r="K38" s="10">
        <v>46082</v>
      </c>
      <c r="L38" s="1" t="s">
        <v>33</v>
      </c>
      <c r="M38" s="1" t="s">
        <v>33</v>
      </c>
    </row>
    <row r="39" spans="1:13" x14ac:dyDescent="0.25">
      <c r="A39" t="s">
        <v>157</v>
      </c>
      <c r="C39" s="8" t="s">
        <v>158</v>
      </c>
      <c r="D39" s="2">
        <v>43863</v>
      </c>
      <c r="E39" s="8" t="s">
        <v>22</v>
      </c>
      <c r="F39" s="8" t="s">
        <v>155</v>
      </c>
      <c r="H39" s="8" t="s">
        <v>156</v>
      </c>
      <c r="I39" t="s">
        <v>26</v>
      </c>
      <c r="J39" s="9" t="s">
        <v>42</v>
      </c>
      <c r="K39" s="10">
        <v>46113</v>
      </c>
      <c r="L39" s="8" t="s">
        <v>33</v>
      </c>
      <c r="M39" s="8" t="s">
        <v>33</v>
      </c>
    </row>
  </sheetData>
  <autoFilter ref="A1:R39" xr:uid="{00000000-0001-0000-0100-000000000000}">
    <sortState xmlns:xlrd2="http://schemas.microsoft.com/office/spreadsheetml/2017/richdata2" ref="A2:R39">
      <sortCondition ref="A1:A39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6"/>
  <sheetViews>
    <sheetView zoomScaleNormal="100" workbookViewId="0">
      <selection activeCell="J2" sqref="J2"/>
    </sheetView>
  </sheetViews>
  <sheetFormatPr defaultColWidth="8.625" defaultRowHeight="15.75" x14ac:dyDescent="0.25"/>
  <cols>
    <col min="1" max="1" width="28.875" bestFit="1" customWidth="1"/>
    <col min="2" max="2" width="18.375" customWidth="1"/>
    <col min="3" max="3" width="16.75" customWidth="1"/>
    <col min="4" max="4" width="11.875" customWidth="1"/>
    <col min="5" max="5" width="11" customWidth="1"/>
    <col min="6" max="6" width="21" customWidth="1"/>
    <col min="7" max="7" width="11.125" customWidth="1"/>
    <col min="8" max="8" width="11.5" customWidth="1"/>
    <col min="9" max="9" width="13.75" customWidth="1"/>
    <col min="10" max="10" width="16.625" bestFit="1" customWidth="1"/>
    <col min="11" max="11" width="8.5" customWidth="1"/>
  </cols>
  <sheetData>
    <row r="1" spans="1:10" x14ac:dyDescent="0.25">
      <c r="A1" t="s">
        <v>177</v>
      </c>
      <c r="B1" t="s">
        <v>2</v>
      </c>
      <c r="C1" t="s">
        <v>178</v>
      </c>
      <c r="D1" t="s">
        <v>179</v>
      </c>
      <c r="E1" t="s">
        <v>180</v>
      </c>
      <c r="F1" t="s">
        <v>181</v>
      </c>
      <c r="G1" t="s">
        <v>19</v>
      </c>
      <c r="H1" t="s">
        <v>182</v>
      </c>
      <c r="I1" t="s">
        <v>183</v>
      </c>
      <c r="J1" t="s">
        <v>184</v>
      </c>
    </row>
    <row r="2" spans="1:10" x14ac:dyDescent="0.25">
      <c r="A2" t="s">
        <v>204</v>
      </c>
      <c r="B2" t="s">
        <v>20</v>
      </c>
      <c r="C2" t="s">
        <v>185</v>
      </c>
      <c r="D2" t="str">
        <f>IF(ISNUMBER(SEARCH("Juli",E2)),"2025-07",
IF(ISNUMBER(SEARCH("Agustus",E2)),"2025-08",
IF(ISNUMBER(SEARCH("September",E2)),"2025-09",
IF(ISNUMBER(SEARCH("Oktober",E2)),"2025-10",
IF(ISNUMBER(SEARCH("November",E2)),"2025-11",
IF(ISNUMBER(SEARCH("Desember",E2)),"2025-12",
IF(ISNUMBER(SEARCH("Januari",E2)),"2026-01",
IF(ISNUMBER(SEARCH("Februari",E2)),"2026-02",
IF(ISNUMBER(SEARCH("Maret",E2)),"2026-03",
IF(ISNUMBER(SEARCH("April",E2)),"2026-04",
IF(ISNUMBER(SEARCH("Mei",E2)),"2026-05",
IF(ISNUMBER(SEARCH("Juni",E2)),"2026-06",""))))))))))))</f>
        <v>2025-07</v>
      </c>
      <c r="E2" t="s">
        <v>186</v>
      </c>
      <c r="F2">
        <v>230000</v>
      </c>
      <c r="G2" t="s">
        <v>1073</v>
      </c>
      <c r="H2">
        <f>IF(ISNUMBER(SEARCH("Juli",E2)),230000,"")</f>
        <v>230000</v>
      </c>
      <c r="I2" s="11">
        <f>DATE(LEFT(D2,4),RIGHT(D2,2),10)</f>
        <v>45848</v>
      </c>
    </row>
    <row r="3" spans="1:10" x14ac:dyDescent="0.25">
      <c r="A3" t="s">
        <v>201</v>
      </c>
      <c r="B3" t="s">
        <v>20</v>
      </c>
      <c r="C3" t="s">
        <v>185</v>
      </c>
      <c r="D3" t="str">
        <f t="shared" ref="D3:D67" si="0">IF(ISNUMBER(SEARCH("Juli",E3)),"2025-07",
IF(ISNUMBER(SEARCH("Agustus",E3)),"2025-08",
IF(ISNUMBER(SEARCH("September",E3)),"2025-09",
IF(ISNUMBER(SEARCH("Oktober",E3)),"2025-10",
IF(ISNUMBER(SEARCH("November",E3)),"2025-11",
IF(ISNUMBER(SEARCH("Desember",E3)),"2025-12",
IF(ISNUMBER(SEARCH("Januari",E3)),"2026-01",
IF(ISNUMBER(SEARCH("Februari",E3)),"2026-02",
IF(ISNUMBER(SEARCH("Maret",E3)),"2026-03",
IF(ISNUMBER(SEARCH("April",E3)),"2026-04",
IF(ISNUMBER(SEARCH("Mei",E3)),"2026-05",
IF(ISNUMBER(SEARCH("Juni",E3)),"2026-06",""))))))))))))</f>
        <v>2025-08</v>
      </c>
      <c r="E3" t="s">
        <v>187</v>
      </c>
      <c r="F3">
        <v>230000</v>
      </c>
      <c r="H3" t="str">
        <f t="shared" ref="H3:H11" si="1">IF(ISNUMBER(SEARCH("Juli",E3)),230000,"")</f>
        <v/>
      </c>
      <c r="I3" s="11">
        <f t="shared" ref="I3:I67" si="2">DATE(LEFT(D3,4),RIGHT(D3,2),10)</f>
        <v>45879</v>
      </c>
    </row>
    <row r="4" spans="1:10" x14ac:dyDescent="0.25">
      <c r="A4" t="s">
        <v>277</v>
      </c>
      <c r="B4" t="s">
        <v>20</v>
      </c>
      <c r="C4" t="s">
        <v>185</v>
      </c>
      <c r="D4" t="str">
        <f t="shared" si="0"/>
        <v>2025-09</v>
      </c>
      <c r="E4" t="s">
        <v>188</v>
      </c>
      <c r="F4">
        <v>230000</v>
      </c>
      <c r="H4" t="str">
        <f t="shared" si="1"/>
        <v/>
      </c>
      <c r="I4" s="11">
        <f t="shared" si="2"/>
        <v>45910</v>
      </c>
    </row>
    <row r="5" spans="1:10" x14ac:dyDescent="0.25">
      <c r="A5" t="s">
        <v>278</v>
      </c>
      <c r="B5" t="s">
        <v>20</v>
      </c>
      <c r="C5" t="s">
        <v>185</v>
      </c>
      <c r="D5" t="str">
        <f t="shared" si="0"/>
        <v>2025-10</v>
      </c>
      <c r="E5" t="s">
        <v>189</v>
      </c>
      <c r="F5">
        <v>230000</v>
      </c>
      <c r="H5" t="str">
        <f t="shared" si="1"/>
        <v/>
      </c>
      <c r="I5" s="11">
        <f t="shared" si="2"/>
        <v>45940</v>
      </c>
    </row>
    <row r="6" spans="1:10" x14ac:dyDescent="0.25">
      <c r="A6" t="s">
        <v>279</v>
      </c>
      <c r="B6" t="s">
        <v>20</v>
      </c>
      <c r="C6" t="s">
        <v>185</v>
      </c>
      <c r="D6" t="str">
        <f t="shared" si="0"/>
        <v>2025-11</v>
      </c>
      <c r="E6" t="s">
        <v>190</v>
      </c>
      <c r="F6">
        <v>230000</v>
      </c>
      <c r="H6" t="str">
        <f t="shared" si="1"/>
        <v/>
      </c>
      <c r="I6" s="11">
        <f t="shared" si="2"/>
        <v>45971</v>
      </c>
    </row>
    <row r="7" spans="1:10" x14ac:dyDescent="0.25">
      <c r="A7" t="s">
        <v>280</v>
      </c>
      <c r="B7" t="s">
        <v>20</v>
      </c>
      <c r="C7" t="s">
        <v>185</v>
      </c>
      <c r="D7" t="str">
        <f t="shared" si="0"/>
        <v>2025-12</v>
      </c>
      <c r="E7" t="s">
        <v>191</v>
      </c>
      <c r="F7">
        <v>230000</v>
      </c>
      <c r="H7" t="str">
        <f t="shared" si="1"/>
        <v/>
      </c>
      <c r="I7" s="11">
        <f t="shared" si="2"/>
        <v>46001</v>
      </c>
    </row>
    <row r="8" spans="1:10" x14ac:dyDescent="0.25">
      <c r="A8" t="s">
        <v>281</v>
      </c>
      <c r="B8" t="s">
        <v>20</v>
      </c>
      <c r="C8" t="s">
        <v>185</v>
      </c>
      <c r="D8" t="str">
        <f t="shared" si="0"/>
        <v>2026-01</v>
      </c>
      <c r="E8" t="s">
        <v>192</v>
      </c>
      <c r="F8">
        <v>230000</v>
      </c>
      <c r="H8" t="str">
        <f t="shared" si="1"/>
        <v/>
      </c>
      <c r="I8" s="11">
        <f t="shared" si="2"/>
        <v>46032</v>
      </c>
    </row>
    <row r="9" spans="1:10" x14ac:dyDescent="0.25">
      <c r="A9" t="s">
        <v>282</v>
      </c>
      <c r="B9" t="s">
        <v>20</v>
      </c>
      <c r="C9" t="s">
        <v>185</v>
      </c>
      <c r="D9" t="str">
        <f t="shared" si="0"/>
        <v>2026-02</v>
      </c>
      <c r="E9" t="s">
        <v>193</v>
      </c>
      <c r="F9">
        <v>230000</v>
      </c>
      <c r="H9" t="str">
        <f t="shared" si="1"/>
        <v/>
      </c>
      <c r="I9" s="11">
        <f t="shared" si="2"/>
        <v>46063</v>
      </c>
    </row>
    <row r="10" spans="1:10" x14ac:dyDescent="0.25">
      <c r="A10" t="s">
        <v>283</v>
      </c>
      <c r="B10" t="s">
        <v>20</v>
      </c>
      <c r="C10" t="s">
        <v>185</v>
      </c>
      <c r="D10" t="str">
        <f t="shared" si="0"/>
        <v>2026-03</v>
      </c>
      <c r="E10" t="s">
        <v>194</v>
      </c>
      <c r="F10">
        <v>230000</v>
      </c>
      <c r="H10" t="str">
        <f t="shared" si="1"/>
        <v/>
      </c>
      <c r="I10" s="11">
        <f t="shared" si="2"/>
        <v>46091</v>
      </c>
    </row>
    <row r="11" spans="1:10" x14ac:dyDescent="0.25">
      <c r="A11" t="s">
        <v>284</v>
      </c>
      <c r="B11" t="s">
        <v>20</v>
      </c>
      <c r="C11" t="s">
        <v>185</v>
      </c>
      <c r="D11" t="str">
        <f t="shared" si="0"/>
        <v>2026-04</v>
      </c>
      <c r="E11" t="s">
        <v>217</v>
      </c>
      <c r="F11">
        <v>230000</v>
      </c>
      <c r="H11" t="str">
        <f t="shared" si="1"/>
        <v/>
      </c>
      <c r="I11" s="11">
        <f t="shared" si="2"/>
        <v>46122</v>
      </c>
    </row>
    <row r="12" spans="1:10" x14ac:dyDescent="0.25">
      <c r="A12" t="s">
        <v>285</v>
      </c>
      <c r="B12" t="s">
        <v>29</v>
      </c>
      <c r="C12" t="s">
        <v>185</v>
      </c>
      <c r="D12" t="str">
        <f t="shared" si="0"/>
        <v>2025-07</v>
      </c>
      <c r="E12" t="s">
        <v>186</v>
      </c>
      <c r="F12">
        <v>230000</v>
      </c>
      <c r="G12" t="s">
        <v>1073</v>
      </c>
      <c r="H12">
        <f>IF(ISNUMBER(SEARCH("Juli",E12)),230000,"")</f>
        <v>230000</v>
      </c>
      <c r="I12" s="11">
        <f t="shared" si="2"/>
        <v>45848</v>
      </c>
    </row>
    <row r="13" spans="1:10" x14ac:dyDescent="0.25">
      <c r="A13" t="s">
        <v>286</v>
      </c>
      <c r="B13" t="s">
        <v>29</v>
      </c>
      <c r="C13" t="s">
        <v>185</v>
      </c>
      <c r="D13" t="str">
        <f t="shared" si="0"/>
        <v>2025-08</v>
      </c>
      <c r="E13" t="s">
        <v>187</v>
      </c>
      <c r="F13">
        <v>230000</v>
      </c>
      <c r="H13" t="str">
        <f t="shared" ref="H13:H73" si="3">IF(ISNUMBER(SEARCH("Juli",E13)),230000,"")</f>
        <v/>
      </c>
      <c r="I13" s="11">
        <f t="shared" si="2"/>
        <v>45879</v>
      </c>
    </row>
    <row r="14" spans="1:10" x14ac:dyDescent="0.25">
      <c r="A14" t="s">
        <v>287</v>
      </c>
      <c r="B14" t="s">
        <v>29</v>
      </c>
      <c r="C14" t="s">
        <v>185</v>
      </c>
      <c r="D14" t="str">
        <f t="shared" si="0"/>
        <v>2025-09</v>
      </c>
      <c r="E14" t="s">
        <v>188</v>
      </c>
      <c r="F14">
        <v>230000</v>
      </c>
      <c r="H14" t="str">
        <f t="shared" si="3"/>
        <v/>
      </c>
      <c r="I14" s="11">
        <f t="shared" si="2"/>
        <v>45910</v>
      </c>
    </row>
    <row r="15" spans="1:10" x14ac:dyDescent="0.25">
      <c r="A15" t="s">
        <v>288</v>
      </c>
      <c r="B15" t="s">
        <v>29</v>
      </c>
      <c r="C15" t="s">
        <v>185</v>
      </c>
      <c r="D15" t="str">
        <f t="shared" si="0"/>
        <v>2025-10</v>
      </c>
      <c r="E15" t="s">
        <v>189</v>
      </c>
      <c r="F15">
        <v>230000</v>
      </c>
      <c r="H15" t="str">
        <f t="shared" si="3"/>
        <v/>
      </c>
      <c r="I15" s="11">
        <f t="shared" si="2"/>
        <v>45940</v>
      </c>
    </row>
    <row r="16" spans="1:10" x14ac:dyDescent="0.25">
      <c r="A16" t="s">
        <v>289</v>
      </c>
      <c r="B16" t="s">
        <v>29</v>
      </c>
      <c r="C16" t="s">
        <v>185</v>
      </c>
      <c r="D16" t="str">
        <f t="shared" si="0"/>
        <v>2025-11</v>
      </c>
      <c r="E16" t="s">
        <v>190</v>
      </c>
      <c r="F16">
        <v>230000</v>
      </c>
      <c r="H16" t="str">
        <f t="shared" si="3"/>
        <v/>
      </c>
      <c r="I16" s="11">
        <f t="shared" si="2"/>
        <v>45971</v>
      </c>
    </row>
    <row r="17" spans="1:9" x14ac:dyDescent="0.25">
      <c r="A17" t="s">
        <v>290</v>
      </c>
      <c r="B17" t="s">
        <v>29</v>
      </c>
      <c r="C17" t="s">
        <v>185</v>
      </c>
      <c r="D17" t="str">
        <f t="shared" si="0"/>
        <v>2025-12</v>
      </c>
      <c r="E17" t="s">
        <v>191</v>
      </c>
      <c r="F17">
        <v>230000</v>
      </c>
      <c r="H17" t="str">
        <f t="shared" si="3"/>
        <v/>
      </c>
      <c r="I17" s="11">
        <f t="shared" si="2"/>
        <v>46001</v>
      </c>
    </row>
    <row r="18" spans="1:9" x14ac:dyDescent="0.25">
      <c r="A18" t="s">
        <v>291</v>
      </c>
      <c r="B18" t="s">
        <v>29</v>
      </c>
      <c r="C18" t="s">
        <v>185</v>
      </c>
      <c r="D18" t="str">
        <f t="shared" si="0"/>
        <v>2026-01</v>
      </c>
      <c r="E18" t="s">
        <v>192</v>
      </c>
      <c r="F18">
        <v>230000</v>
      </c>
      <c r="H18" t="str">
        <f t="shared" si="3"/>
        <v/>
      </c>
      <c r="I18" s="11">
        <f t="shared" si="2"/>
        <v>46032</v>
      </c>
    </row>
    <row r="19" spans="1:9" x14ac:dyDescent="0.25">
      <c r="A19" t="s">
        <v>292</v>
      </c>
      <c r="B19" t="s">
        <v>29</v>
      </c>
      <c r="C19" t="s">
        <v>185</v>
      </c>
      <c r="D19" t="str">
        <f t="shared" si="0"/>
        <v>2026-02</v>
      </c>
      <c r="E19" t="s">
        <v>193</v>
      </c>
      <c r="F19">
        <v>230000</v>
      </c>
      <c r="H19" t="str">
        <f t="shared" si="3"/>
        <v/>
      </c>
      <c r="I19" s="11">
        <f t="shared" si="2"/>
        <v>46063</v>
      </c>
    </row>
    <row r="20" spans="1:9" x14ac:dyDescent="0.25">
      <c r="A20" t="s">
        <v>293</v>
      </c>
      <c r="B20" t="s">
        <v>29</v>
      </c>
      <c r="C20" t="s">
        <v>185</v>
      </c>
      <c r="D20" t="str">
        <f t="shared" si="0"/>
        <v>2026-03</v>
      </c>
      <c r="E20" t="s">
        <v>194</v>
      </c>
      <c r="F20">
        <v>230000</v>
      </c>
      <c r="H20" t="str">
        <f t="shared" si="3"/>
        <v/>
      </c>
      <c r="I20" s="11">
        <f t="shared" si="2"/>
        <v>46091</v>
      </c>
    </row>
    <row r="21" spans="1:9" x14ac:dyDescent="0.25">
      <c r="A21" t="s">
        <v>294</v>
      </c>
      <c r="B21" t="s">
        <v>29</v>
      </c>
      <c r="C21" t="s">
        <v>185</v>
      </c>
      <c r="D21" t="str">
        <f t="shared" si="0"/>
        <v>2026-04</v>
      </c>
      <c r="E21" t="s">
        <v>217</v>
      </c>
      <c r="F21">
        <v>230000</v>
      </c>
      <c r="H21" t="str">
        <f t="shared" si="3"/>
        <v/>
      </c>
      <c r="I21" s="11">
        <f t="shared" si="2"/>
        <v>46122</v>
      </c>
    </row>
    <row r="22" spans="1:9" x14ac:dyDescent="0.25">
      <c r="A22" t="s">
        <v>295</v>
      </c>
      <c r="B22" t="s">
        <v>34</v>
      </c>
      <c r="C22" t="s">
        <v>185</v>
      </c>
      <c r="D22" t="str">
        <f t="shared" si="0"/>
        <v>2025-07</v>
      </c>
      <c r="E22" t="s">
        <v>186</v>
      </c>
      <c r="F22">
        <v>230000</v>
      </c>
      <c r="G22" t="s">
        <v>1073</v>
      </c>
      <c r="H22">
        <f t="shared" si="3"/>
        <v>230000</v>
      </c>
      <c r="I22" s="11">
        <f t="shared" si="2"/>
        <v>45848</v>
      </c>
    </row>
    <row r="23" spans="1:9" x14ac:dyDescent="0.25">
      <c r="A23" t="s">
        <v>296</v>
      </c>
      <c r="B23" t="s">
        <v>34</v>
      </c>
      <c r="C23" t="s">
        <v>185</v>
      </c>
      <c r="D23" t="str">
        <f t="shared" si="0"/>
        <v>2025-08</v>
      </c>
      <c r="E23" t="s">
        <v>187</v>
      </c>
      <c r="F23">
        <v>230000</v>
      </c>
      <c r="H23" t="str">
        <f t="shared" si="3"/>
        <v/>
      </c>
      <c r="I23" s="11">
        <f t="shared" si="2"/>
        <v>45879</v>
      </c>
    </row>
    <row r="24" spans="1:9" x14ac:dyDescent="0.25">
      <c r="A24" t="s">
        <v>297</v>
      </c>
      <c r="B24" t="s">
        <v>34</v>
      </c>
      <c r="C24" t="s">
        <v>185</v>
      </c>
      <c r="D24" t="str">
        <f t="shared" si="0"/>
        <v>2025-09</v>
      </c>
      <c r="E24" t="s">
        <v>188</v>
      </c>
      <c r="F24">
        <v>230000</v>
      </c>
      <c r="H24" t="str">
        <f t="shared" si="3"/>
        <v/>
      </c>
      <c r="I24" s="11">
        <f t="shared" si="2"/>
        <v>45910</v>
      </c>
    </row>
    <row r="25" spans="1:9" x14ac:dyDescent="0.25">
      <c r="A25" t="s">
        <v>298</v>
      </c>
      <c r="B25" t="s">
        <v>34</v>
      </c>
      <c r="C25" t="s">
        <v>185</v>
      </c>
      <c r="D25" t="str">
        <f t="shared" si="0"/>
        <v>2025-10</v>
      </c>
      <c r="E25" t="s">
        <v>189</v>
      </c>
      <c r="F25">
        <v>230000</v>
      </c>
      <c r="H25" t="str">
        <f t="shared" si="3"/>
        <v/>
      </c>
      <c r="I25" s="11">
        <f t="shared" si="2"/>
        <v>45940</v>
      </c>
    </row>
    <row r="26" spans="1:9" x14ac:dyDescent="0.25">
      <c r="A26" t="s">
        <v>299</v>
      </c>
      <c r="B26" t="s">
        <v>34</v>
      </c>
      <c r="C26" t="s">
        <v>185</v>
      </c>
      <c r="D26" t="str">
        <f t="shared" si="0"/>
        <v>2025-11</v>
      </c>
      <c r="E26" t="s">
        <v>190</v>
      </c>
      <c r="F26">
        <v>230000</v>
      </c>
      <c r="H26" t="str">
        <f t="shared" si="3"/>
        <v/>
      </c>
      <c r="I26" s="11">
        <f t="shared" si="2"/>
        <v>45971</v>
      </c>
    </row>
    <row r="27" spans="1:9" x14ac:dyDescent="0.25">
      <c r="A27" t="s">
        <v>300</v>
      </c>
      <c r="B27" t="s">
        <v>34</v>
      </c>
      <c r="C27" t="s">
        <v>185</v>
      </c>
      <c r="D27" t="str">
        <f t="shared" si="0"/>
        <v>2025-12</v>
      </c>
      <c r="E27" t="s">
        <v>191</v>
      </c>
      <c r="F27">
        <v>230000</v>
      </c>
      <c r="H27" t="str">
        <f t="shared" si="3"/>
        <v/>
      </c>
      <c r="I27" s="11">
        <f t="shared" si="2"/>
        <v>46001</v>
      </c>
    </row>
    <row r="28" spans="1:9" x14ac:dyDescent="0.25">
      <c r="A28" t="s">
        <v>301</v>
      </c>
      <c r="B28" t="s">
        <v>34</v>
      </c>
      <c r="C28" t="s">
        <v>185</v>
      </c>
      <c r="D28" t="str">
        <f t="shared" si="0"/>
        <v>2026-01</v>
      </c>
      <c r="E28" t="s">
        <v>192</v>
      </c>
      <c r="F28">
        <v>230000</v>
      </c>
      <c r="H28" t="str">
        <f t="shared" si="3"/>
        <v/>
      </c>
      <c r="I28" s="11">
        <f t="shared" si="2"/>
        <v>46032</v>
      </c>
    </row>
    <row r="29" spans="1:9" x14ac:dyDescent="0.25">
      <c r="A29" t="s">
        <v>302</v>
      </c>
      <c r="B29" t="s">
        <v>34</v>
      </c>
      <c r="C29" t="s">
        <v>185</v>
      </c>
      <c r="D29" t="str">
        <f t="shared" si="0"/>
        <v>2026-02</v>
      </c>
      <c r="E29" t="s">
        <v>193</v>
      </c>
      <c r="F29">
        <v>230000</v>
      </c>
      <c r="H29" t="str">
        <f t="shared" si="3"/>
        <v/>
      </c>
      <c r="I29" s="11">
        <f t="shared" si="2"/>
        <v>46063</v>
      </c>
    </row>
    <row r="30" spans="1:9" x14ac:dyDescent="0.25">
      <c r="A30" t="s">
        <v>303</v>
      </c>
      <c r="B30" t="s">
        <v>34</v>
      </c>
      <c r="C30" t="s">
        <v>185</v>
      </c>
      <c r="D30" t="str">
        <f t="shared" si="0"/>
        <v>2026-03</v>
      </c>
      <c r="E30" t="s">
        <v>194</v>
      </c>
      <c r="F30">
        <v>230000</v>
      </c>
      <c r="H30" t="str">
        <f t="shared" si="3"/>
        <v/>
      </c>
      <c r="I30" s="11">
        <f t="shared" si="2"/>
        <v>46091</v>
      </c>
    </row>
    <row r="31" spans="1:9" x14ac:dyDescent="0.25">
      <c r="A31" t="s">
        <v>304</v>
      </c>
      <c r="B31" t="s">
        <v>34</v>
      </c>
      <c r="C31" t="s">
        <v>185</v>
      </c>
      <c r="D31" t="str">
        <f t="shared" si="0"/>
        <v>2026-04</v>
      </c>
      <c r="E31" t="s">
        <v>217</v>
      </c>
      <c r="F31">
        <v>230000</v>
      </c>
      <c r="H31" t="str">
        <f t="shared" si="3"/>
        <v/>
      </c>
      <c r="I31" s="11">
        <f t="shared" si="2"/>
        <v>46122</v>
      </c>
    </row>
    <row r="32" spans="1:9" x14ac:dyDescent="0.25">
      <c r="A32" t="s">
        <v>305</v>
      </c>
      <c r="B32" t="s">
        <v>43</v>
      </c>
      <c r="C32" t="s">
        <v>185</v>
      </c>
      <c r="D32" t="str">
        <f t="shared" si="0"/>
        <v>2025-07</v>
      </c>
      <c r="E32" t="s">
        <v>186</v>
      </c>
      <c r="F32">
        <v>230000</v>
      </c>
      <c r="G32" t="s">
        <v>1073</v>
      </c>
      <c r="H32">
        <f t="shared" si="3"/>
        <v>230000</v>
      </c>
      <c r="I32" s="11">
        <f t="shared" si="2"/>
        <v>45848</v>
      </c>
    </row>
    <row r="33" spans="1:9" x14ac:dyDescent="0.25">
      <c r="A33" t="s">
        <v>306</v>
      </c>
      <c r="B33" t="s">
        <v>43</v>
      </c>
      <c r="C33" t="s">
        <v>185</v>
      </c>
      <c r="D33" t="str">
        <f t="shared" si="0"/>
        <v>2025-08</v>
      </c>
      <c r="E33" t="s">
        <v>187</v>
      </c>
      <c r="F33">
        <v>230000</v>
      </c>
      <c r="H33" t="str">
        <f t="shared" si="3"/>
        <v/>
      </c>
      <c r="I33" s="11">
        <f t="shared" si="2"/>
        <v>45879</v>
      </c>
    </row>
    <row r="34" spans="1:9" x14ac:dyDescent="0.25">
      <c r="A34" t="s">
        <v>307</v>
      </c>
      <c r="B34" t="s">
        <v>43</v>
      </c>
      <c r="C34" t="s">
        <v>185</v>
      </c>
      <c r="D34" t="str">
        <f t="shared" si="0"/>
        <v>2025-09</v>
      </c>
      <c r="E34" t="s">
        <v>188</v>
      </c>
      <c r="F34">
        <v>230000</v>
      </c>
      <c r="H34" t="str">
        <f t="shared" si="3"/>
        <v/>
      </c>
      <c r="I34" s="11">
        <f t="shared" si="2"/>
        <v>45910</v>
      </c>
    </row>
    <row r="35" spans="1:9" x14ac:dyDescent="0.25">
      <c r="A35" t="s">
        <v>308</v>
      </c>
      <c r="B35" t="s">
        <v>43</v>
      </c>
      <c r="C35" t="s">
        <v>185</v>
      </c>
      <c r="D35" t="str">
        <f t="shared" si="0"/>
        <v>2025-10</v>
      </c>
      <c r="E35" t="s">
        <v>189</v>
      </c>
      <c r="F35">
        <v>230000</v>
      </c>
      <c r="H35" t="str">
        <f t="shared" si="3"/>
        <v/>
      </c>
      <c r="I35" s="11">
        <f t="shared" si="2"/>
        <v>45940</v>
      </c>
    </row>
    <row r="36" spans="1:9" x14ac:dyDescent="0.25">
      <c r="A36" t="s">
        <v>309</v>
      </c>
      <c r="B36" t="s">
        <v>43</v>
      </c>
      <c r="C36" t="s">
        <v>185</v>
      </c>
      <c r="D36" t="str">
        <f t="shared" si="0"/>
        <v>2025-11</v>
      </c>
      <c r="E36" t="s">
        <v>190</v>
      </c>
      <c r="F36">
        <v>230000</v>
      </c>
      <c r="H36" t="str">
        <f t="shared" si="3"/>
        <v/>
      </c>
      <c r="I36" s="11">
        <f t="shared" si="2"/>
        <v>45971</v>
      </c>
    </row>
    <row r="37" spans="1:9" x14ac:dyDescent="0.25">
      <c r="A37" t="s">
        <v>310</v>
      </c>
      <c r="B37" t="s">
        <v>43</v>
      </c>
      <c r="C37" t="s">
        <v>185</v>
      </c>
      <c r="D37" t="str">
        <f t="shared" si="0"/>
        <v>2025-12</v>
      </c>
      <c r="E37" t="s">
        <v>191</v>
      </c>
      <c r="F37">
        <v>230000</v>
      </c>
      <c r="H37" t="str">
        <f t="shared" si="3"/>
        <v/>
      </c>
      <c r="I37" s="11">
        <f t="shared" si="2"/>
        <v>46001</v>
      </c>
    </row>
    <row r="38" spans="1:9" x14ac:dyDescent="0.25">
      <c r="A38" t="s">
        <v>311</v>
      </c>
      <c r="B38" t="s">
        <v>43</v>
      </c>
      <c r="C38" t="s">
        <v>185</v>
      </c>
      <c r="D38" t="str">
        <f t="shared" si="0"/>
        <v>2026-01</v>
      </c>
      <c r="E38" t="s">
        <v>192</v>
      </c>
      <c r="F38">
        <v>230000</v>
      </c>
      <c r="H38" t="str">
        <f t="shared" si="3"/>
        <v/>
      </c>
      <c r="I38" s="11">
        <f t="shared" si="2"/>
        <v>46032</v>
      </c>
    </row>
    <row r="39" spans="1:9" x14ac:dyDescent="0.25">
      <c r="A39" t="s">
        <v>312</v>
      </c>
      <c r="B39" t="s">
        <v>43</v>
      </c>
      <c r="C39" t="s">
        <v>185</v>
      </c>
      <c r="D39" t="str">
        <f t="shared" si="0"/>
        <v>2026-02</v>
      </c>
      <c r="E39" t="s">
        <v>193</v>
      </c>
      <c r="F39">
        <v>230000</v>
      </c>
      <c r="H39" t="str">
        <f t="shared" si="3"/>
        <v/>
      </c>
      <c r="I39" s="11">
        <f t="shared" si="2"/>
        <v>46063</v>
      </c>
    </row>
    <row r="40" spans="1:9" x14ac:dyDescent="0.25">
      <c r="A40" t="s">
        <v>313</v>
      </c>
      <c r="B40" t="s">
        <v>43</v>
      </c>
      <c r="C40" t="s">
        <v>185</v>
      </c>
      <c r="D40" t="str">
        <f t="shared" si="0"/>
        <v>2026-03</v>
      </c>
      <c r="E40" t="s">
        <v>194</v>
      </c>
      <c r="F40">
        <v>230000</v>
      </c>
      <c r="H40" t="str">
        <f t="shared" si="3"/>
        <v/>
      </c>
      <c r="I40" s="11">
        <f t="shared" si="2"/>
        <v>46091</v>
      </c>
    </row>
    <row r="41" spans="1:9" x14ac:dyDescent="0.25">
      <c r="A41" t="s">
        <v>314</v>
      </c>
      <c r="B41" t="s">
        <v>43</v>
      </c>
      <c r="C41" t="s">
        <v>185</v>
      </c>
      <c r="D41" t="str">
        <f t="shared" si="0"/>
        <v>2026-04</v>
      </c>
      <c r="E41" t="s">
        <v>217</v>
      </c>
      <c r="F41">
        <v>230000</v>
      </c>
      <c r="H41" t="str">
        <f t="shared" si="3"/>
        <v/>
      </c>
      <c r="I41" s="11">
        <f t="shared" si="2"/>
        <v>46122</v>
      </c>
    </row>
    <row r="42" spans="1:9" x14ac:dyDescent="0.25">
      <c r="A42" t="s">
        <v>315</v>
      </c>
      <c r="B42" t="s">
        <v>47</v>
      </c>
      <c r="C42" t="s">
        <v>185</v>
      </c>
      <c r="D42" t="str">
        <f t="shared" si="0"/>
        <v>2025-07</v>
      </c>
      <c r="E42" t="s">
        <v>186</v>
      </c>
      <c r="F42">
        <v>230000</v>
      </c>
      <c r="G42" t="s">
        <v>1073</v>
      </c>
      <c r="H42">
        <f t="shared" si="3"/>
        <v>230000</v>
      </c>
      <c r="I42" s="11">
        <f t="shared" si="2"/>
        <v>45848</v>
      </c>
    </row>
    <row r="43" spans="1:9" x14ac:dyDescent="0.25">
      <c r="A43" t="s">
        <v>316</v>
      </c>
      <c r="B43" t="s">
        <v>47</v>
      </c>
      <c r="C43" t="s">
        <v>185</v>
      </c>
      <c r="D43" t="str">
        <f t="shared" si="0"/>
        <v>2025-08</v>
      </c>
      <c r="E43" t="s">
        <v>187</v>
      </c>
      <c r="F43">
        <v>230000</v>
      </c>
      <c r="H43" t="str">
        <f t="shared" si="3"/>
        <v/>
      </c>
      <c r="I43" s="11">
        <f t="shared" si="2"/>
        <v>45879</v>
      </c>
    </row>
    <row r="44" spans="1:9" x14ac:dyDescent="0.25">
      <c r="A44" t="s">
        <v>317</v>
      </c>
      <c r="B44" t="s">
        <v>47</v>
      </c>
      <c r="C44" t="s">
        <v>185</v>
      </c>
      <c r="D44" t="str">
        <f t="shared" si="0"/>
        <v>2025-09</v>
      </c>
      <c r="E44" t="s">
        <v>188</v>
      </c>
      <c r="F44">
        <v>230000</v>
      </c>
      <c r="H44" t="str">
        <f t="shared" si="3"/>
        <v/>
      </c>
      <c r="I44" s="11">
        <f t="shared" si="2"/>
        <v>45910</v>
      </c>
    </row>
    <row r="45" spans="1:9" x14ac:dyDescent="0.25">
      <c r="A45" t="s">
        <v>318</v>
      </c>
      <c r="B45" t="s">
        <v>47</v>
      </c>
      <c r="C45" t="s">
        <v>185</v>
      </c>
      <c r="D45" t="str">
        <f t="shared" si="0"/>
        <v>2025-10</v>
      </c>
      <c r="E45" t="s">
        <v>189</v>
      </c>
      <c r="F45">
        <v>230000</v>
      </c>
      <c r="H45" t="str">
        <f t="shared" si="3"/>
        <v/>
      </c>
      <c r="I45" s="11">
        <f t="shared" si="2"/>
        <v>45940</v>
      </c>
    </row>
    <row r="46" spans="1:9" x14ac:dyDescent="0.25">
      <c r="A46" t="s">
        <v>319</v>
      </c>
      <c r="B46" t="s">
        <v>47</v>
      </c>
      <c r="C46" t="s">
        <v>185</v>
      </c>
      <c r="D46" t="str">
        <f t="shared" si="0"/>
        <v>2025-11</v>
      </c>
      <c r="E46" t="s">
        <v>190</v>
      </c>
      <c r="F46">
        <v>230000</v>
      </c>
      <c r="H46" t="str">
        <f t="shared" si="3"/>
        <v/>
      </c>
      <c r="I46" s="11">
        <f t="shared" si="2"/>
        <v>45971</v>
      </c>
    </row>
    <row r="47" spans="1:9" x14ac:dyDescent="0.25">
      <c r="A47" t="s">
        <v>320</v>
      </c>
      <c r="B47" t="s">
        <v>47</v>
      </c>
      <c r="C47" t="s">
        <v>185</v>
      </c>
      <c r="D47" t="str">
        <f t="shared" si="0"/>
        <v>2025-12</v>
      </c>
      <c r="E47" t="s">
        <v>191</v>
      </c>
      <c r="F47">
        <v>230000</v>
      </c>
      <c r="H47" t="str">
        <f t="shared" si="3"/>
        <v/>
      </c>
      <c r="I47" s="11">
        <f t="shared" si="2"/>
        <v>46001</v>
      </c>
    </row>
    <row r="48" spans="1:9" x14ac:dyDescent="0.25">
      <c r="A48" t="s">
        <v>321</v>
      </c>
      <c r="B48" t="s">
        <v>54</v>
      </c>
      <c r="C48" t="s">
        <v>185</v>
      </c>
      <c r="D48" t="str">
        <f t="shared" si="0"/>
        <v>2025-07</v>
      </c>
      <c r="E48" t="s">
        <v>186</v>
      </c>
      <c r="F48">
        <v>220000</v>
      </c>
      <c r="G48" t="s">
        <v>1073</v>
      </c>
      <c r="H48">
        <f>IF(ISNUMBER(SEARCH("Juli",E48)),220000,"")</f>
        <v>220000</v>
      </c>
      <c r="I48" s="11">
        <f t="shared" si="2"/>
        <v>45848</v>
      </c>
    </row>
    <row r="49" spans="1:17" x14ac:dyDescent="0.25">
      <c r="A49" t="s">
        <v>322</v>
      </c>
      <c r="B49" t="s">
        <v>54</v>
      </c>
      <c r="C49" t="s">
        <v>185</v>
      </c>
      <c r="D49" t="str">
        <f t="shared" si="0"/>
        <v>2025-08</v>
      </c>
      <c r="E49" t="s">
        <v>187</v>
      </c>
      <c r="F49">
        <v>220000</v>
      </c>
      <c r="H49" t="str">
        <f t="shared" si="3"/>
        <v/>
      </c>
      <c r="I49" s="11">
        <f t="shared" si="2"/>
        <v>45879</v>
      </c>
    </row>
    <row r="50" spans="1:17" x14ac:dyDescent="0.25">
      <c r="A50" t="s">
        <v>323</v>
      </c>
      <c r="B50" t="s">
        <v>54</v>
      </c>
      <c r="C50" t="s">
        <v>185</v>
      </c>
      <c r="D50" t="str">
        <f t="shared" si="0"/>
        <v>2025-09</v>
      </c>
      <c r="E50" t="s">
        <v>188</v>
      </c>
      <c r="F50">
        <v>220000</v>
      </c>
      <c r="H50" t="str">
        <f t="shared" si="3"/>
        <v/>
      </c>
      <c r="I50" s="11">
        <f t="shared" si="2"/>
        <v>45910</v>
      </c>
    </row>
    <row r="51" spans="1:17" x14ac:dyDescent="0.25">
      <c r="A51" t="s">
        <v>324</v>
      </c>
      <c r="B51" t="s">
        <v>54</v>
      </c>
      <c r="C51" t="s">
        <v>185</v>
      </c>
      <c r="D51" t="str">
        <f t="shared" si="0"/>
        <v>2025-10</v>
      </c>
      <c r="E51" t="s">
        <v>189</v>
      </c>
      <c r="F51">
        <v>220000</v>
      </c>
      <c r="H51" t="str">
        <f t="shared" si="3"/>
        <v/>
      </c>
      <c r="I51" s="11">
        <f t="shared" si="2"/>
        <v>45940</v>
      </c>
    </row>
    <row r="52" spans="1:17" x14ac:dyDescent="0.25">
      <c r="A52" t="s">
        <v>325</v>
      </c>
      <c r="B52" t="s">
        <v>54</v>
      </c>
      <c r="C52" t="s">
        <v>185</v>
      </c>
      <c r="D52" t="str">
        <f t="shared" si="0"/>
        <v>2025-11</v>
      </c>
      <c r="E52" t="s">
        <v>190</v>
      </c>
      <c r="F52">
        <v>220000</v>
      </c>
      <c r="H52" t="str">
        <f t="shared" si="3"/>
        <v/>
      </c>
      <c r="I52" s="11">
        <f t="shared" si="2"/>
        <v>45971</v>
      </c>
    </row>
    <row r="53" spans="1:17" x14ac:dyDescent="0.25">
      <c r="A53" t="s">
        <v>326</v>
      </c>
      <c r="B53" t="s">
        <v>54</v>
      </c>
      <c r="C53" t="s">
        <v>185</v>
      </c>
      <c r="E53" t="s">
        <v>191</v>
      </c>
      <c r="F53">
        <v>220000</v>
      </c>
      <c r="I53" s="10"/>
    </row>
    <row r="54" spans="1:17" x14ac:dyDescent="0.25">
      <c r="A54" t="s">
        <v>327</v>
      </c>
      <c r="B54" t="s">
        <v>54</v>
      </c>
      <c r="C54" t="s">
        <v>185</v>
      </c>
      <c r="D54" t="str">
        <f t="shared" si="0"/>
        <v>2026-01</v>
      </c>
      <c r="E54" t="s">
        <v>192</v>
      </c>
      <c r="F54">
        <v>220000</v>
      </c>
      <c r="H54" t="str">
        <f t="shared" si="3"/>
        <v/>
      </c>
      <c r="I54" s="10">
        <f t="shared" si="2"/>
        <v>46032</v>
      </c>
    </row>
    <row r="55" spans="1:17" x14ac:dyDescent="0.25">
      <c r="A55" t="s">
        <v>328</v>
      </c>
      <c r="B55" t="s">
        <v>54</v>
      </c>
      <c r="C55" t="s">
        <v>185</v>
      </c>
      <c r="D55" t="str">
        <f t="shared" si="0"/>
        <v>2026-02</v>
      </c>
      <c r="E55" t="s">
        <v>193</v>
      </c>
      <c r="F55">
        <v>220000</v>
      </c>
      <c r="H55" t="str">
        <f t="shared" ref="H55:H57" si="4">IF(ISNUMBER(SEARCH("Juli",E55)),230000,"")</f>
        <v/>
      </c>
      <c r="I55" s="10">
        <f t="shared" si="2"/>
        <v>46063</v>
      </c>
    </row>
    <row r="56" spans="1:17" x14ac:dyDescent="0.25">
      <c r="A56" t="s">
        <v>329</v>
      </c>
      <c r="B56" t="s">
        <v>54</v>
      </c>
      <c r="C56" t="s">
        <v>185</v>
      </c>
      <c r="D56" t="str">
        <f t="shared" si="0"/>
        <v>2026-03</v>
      </c>
      <c r="E56" t="s">
        <v>194</v>
      </c>
      <c r="F56">
        <v>220000</v>
      </c>
      <c r="H56" t="str">
        <f t="shared" si="4"/>
        <v/>
      </c>
      <c r="I56" s="10">
        <f t="shared" si="2"/>
        <v>46091</v>
      </c>
    </row>
    <row r="57" spans="1:17" x14ac:dyDescent="0.25">
      <c r="A57" t="s">
        <v>330</v>
      </c>
      <c r="B57" t="s">
        <v>54</v>
      </c>
      <c r="C57" t="s">
        <v>185</v>
      </c>
      <c r="D57" t="str">
        <f t="shared" si="0"/>
        <v>2026-04</v>
      </c>
      <c r="E57" t="s">
        <v>217</v>
      </c>
      <c r="F57">
        <v>220000</v>
      </c>
      <c r="H57" t="str">
        <f t="shared" si="4"/>
        <v/>
      </c>
      <c r="I57" s="10">
        <f t="shared" si="2"/>
        <v>46122</v>
      </c>
      <c r="Q57" s="2"/>
    </row>
    <row r="58" spans="1:17" x14ac:dyDescent="0.25">
      <c r="A58" t="s">
        <v>331</v>
      </c>
      <c r="B58" t="s">
        <v>58</v>
      </c>
      <c r="C58" t="s">
        <v>185</v>
      </c>
      <c r="D58" t="str">
        <f t="shared" si="0"/>
        <v>2025-07</v>
      </c>
      <c r="E58" t="s">
        <v>186</v>
      </c>
      <c r="F58">
        <v>230000</v>
      </c>
      <c r="I58" s="10">
        <f t="shared" si="2"/>
        <v>45848</v>
      </c>
    </row>
    <row r="59" spans="1:17" x14ac:dyDescent="0.25">
      <c r="A59" t="s">
        <v>332</v>
      </c>
      <c r="B59" t="s">
        <v>58</v>
      </c>
      <c r="C59" t="s">
        <v>185</v>
      </c>
      <c r="D59" t="str">
        <f t="shared" si="0"/>
        <v>2025-08</v>
      </c>
      <c r="E59" t="s">
        <v>187</v>
      </c>
      <c r="F59">
        <v>230000</v>
      </c>
      <c r="H59" t="str">
        <f t="shared" si="3"/>
        <v/>
      </c>
      <c r="I59" s="10">
        <f t="shared" si="2"/>
        <v>45879</v>
      </c>
    </row>
    <row r="60" spans="1:17" x14ac:dyDescent="0.25">
      <c r="A60" t="s">
        <v>333</v>
      </c>
      <c r="B60" t="s">
        <v>58</v>
      </c>
      <c r="C60" t="s">
        <v>185</v>
      </c>
      <c r="D60" t="str">
        <f t="shared" si="0"/>
        <v>2025-09</v>
      </c>
      <c r="E60" t="s">
        <v>188</v>
      </c>
      <c r="F60">
        <v>230000</v>
      </c>
      <c r="H60" t="str">
        <f t="shared" si="3"/>
        <v/>
      </c>
      <c r="I60" s="10">
        <f t="shared" si="2"/>
        <v>45910</v>
      </c>
    </row>
    <row r="61" spans="1:17" x14ac:dyDescent="0.25">
      <c r="A61" t="s">
        <v>636</v>
      </c>
      <c r="B61" t="s">
        <v>58</v>
      </c>
      <c r="C61" t="s">
        <v>185</v>
      </c>
      <c r="D61" t="str">
        <f t="shared" si="0"/>
        <v>2025-10</v>
      </c>
      <c r="E61" t="s">
        <v>189</v>
      </c>
      <c r="F61">
        <v>230000</v>
      </c>
      <c r="H61" t="str">
        <f t="shared" si="3"/>
        <v/>
      </c>
      <c r="I61" s="10">
        <f t="shared" si="2"/>
        <v>45940</v>
      </c>
    </row>
    <row r="62" spans="1:17" x14ac:dyDescent="0.25">
      <c r="A62" t="s">
        <v>637</v>
      </c>
      <c r="B62" t="s">
        <v>58</v>
      </c>
      <c r="C62" t="s">
        <v>185</v>
      </c>
      <c r="D62" t="str">
        <f t="shared" si="0"/>
        <v>2025-11</v>
      </c>
      <c r="E62" t="s">
        <v>190</v>
      </c>
      <c r="F62">
        <v>230000</v>
      </c>
      <c r="H62" t="str">
        <f t="shared" si="3"/>
        <v/>
      </c>
      <c r="I62" s="10">
        <f t="shared" si="2"/>
        <v>45971</v>
      </c>
    </row>
    <row r="63" spans="1:17" x14ac:dyDescent="0.25">
      <c r="A63" t="s">
        <v>638</v>
      </c>
      <c r="B63" t="s">
        <v>58</v>
      </c>
      <c r="C63" t="s">
        <v>185</v>
      </c>
      <c r="D63" t="str">
        <f t="shared" si="0"/>
        <v>2025-12</v>
      </c>
      <c r="E63" t="s">
        <v>191</v>
      </c>
      <c r="F63">
        <v>230000</v>
      </c>
      <c r="H63" t="str">
        <f t="shared" si="3"/>
        <v/>
      </c>
      <c r="I63" s="10">
        <f t="shared" si="2"/>
        <v>46001</v>
      </c>
    </row>
    <row r="64" spans="1:17" x14ac:dyDescent="0.25">
      <c r="A64" t="s">
        <v>639</v>
      </c>
      <c r="B64" t="s">
        <v>58</v>
      </c>
      <c r="C64" t="s">
        <v>185</v>
      </c>
      <c r="D64" t="str">
        <f t="shared" si="0"/>
        <v>2026-01</v>
      </c>
      <c r="E64" t="s">
        <v>192</v>
      </c>
      <c r="F64">
        <v>230000</v>
      </c>
      <c r="H64" t="str">
        <f t="shared" si="3"/>
        <v/>
      </c>
      <c r="I64" s="10">
        <f t="shared" si="2"/>
        <v>46032</v>
      </c>
    </row>
    <row r="65" spans="1:9" x14ac:dyDescent="0.25">
      <c r="A65" t="s">
        <v>640</v>
      </c>
      <c r="B65" t="s">
        <v>58</v>
      </c>
      <c r="C65" t="s">
        <v>185</v>
      </c>
      <c r="D65" t="str">
        <f t="shared" si="0"/>
        <v>2026-02</v>
      </c>
      <c r="E65" t="s">
        <v>193</v>
      </c>
      <c r="F65">
        <v>230000</v>
      </c>
      <c r="H65" t="str">
        <f t="shared" si="3"/>
        <v/>
      </c>
      <c r="I65" s="10">
        <f t="shared" si="2"/>
        <v>46063</v>
      </c>
    </row>
    <row r="66" spans="1:9" x14ac:dyDescent="0.25">
      <c r="A66" t="s">
        <v>641</v>
      </c>
      <c r="B66" t="s">
        <v>58</v>
      </c>
      <c r="C66" t="s">
        <v>185</v>
      </c>
      <c r="D66" t="str">
        <f t="shared" si="0"/>
        <v>2026-03</v>
      </c>
      <c r="E66" t="s">
        <v>194</v>
      </c>
      <c r="F66">
        <v>230000</v>
      </c>
      <c r="H66" t="str">
        <f t="shared" si="3"/>
        <v/>
      </c>
      <c r="I66" s="10">
        <f t="shared" si="2"/>
        <v>46091</v>
      </c>
    </row>
    <row r="67" spans="1:9" x14ac:dyDescent="0.25">
      <c r="A67" t="s">
        <v>642</v>
      </c>
      <c r="B67" t="s">
        <v>58</v>
      </c>
      <c r="C67" t="s">
        <v>185</v>
      </c>
      <c r="D67" t="str">
        <f t="shared" si="0"/>
        <v>2026-04</v>
      </c>
      <c r="E67" t="s">
        <v>217</v>
      </c>
      <c r="F67">
        <v>230000</v>
      </c>
      <c r="H67" t="str">
        <f t="shared" si="3"/>
        <v/>
      </c>
      <c r="I67" s="10">
        <f t="shared" si="2"/>
        <v>46122</v>
      </c>
    </row>
    <row r="68" spans="1:9" x14ac:dyDescent="0.25">
      <c r="A68" t="s">
        <v>643</v>
      </c>
      <c r="B68" t="s">
        <v>62</v>
      </c>
      <c r="C68" t="s">
        <v>185</v>
      </c>
      <c r="D68" t="str">
        <f t="shared" ref="D68:D125" si="5">IF(ISNUMBER(SEARCH("Juli",E68)),"2025-07",
IF(ISNUMBER(SEARCH("Agustus",E68)),"2025-08",
IF(ISNUMBER(SEARCH("September",E68)),"2025-09",
IF(ISNUMBER(SEARCH("Oktober",E68)),"2025-10",
IF(ISNUMBER(SEARCH("November",E68)),"2025-11",
IF(ISNUMBER(SEARCH("Desember",E68)),"2025-12",
IF(ISNUMBER(SEARCH("Januari",E68)),"2026-01",
IF(ISNUMBER(SEARCH("Februari",E68)),"2026-02",
IF(ISNUMBER(SEARCH("Maret",E68)),"2026-03",
IF(ISNUMBER(SEARCH("April",E68)),"2026-04",
IF(ISNUMBER(SEARCH("Mei",E68)),"2026-05",
IF(ISNUMBER(SEARCH("Juni",E68)),"2026-06",""))))))))))))</f>
        <v>2025-07</v>
      </c>
      <c r="E68" t="s">
        <v>186</v>
      </c>
      <c r="F68">
        <v>230000</v>
      </c>
      <c r="G68" t="s">
        <v>1073</v>
      </c>
      <c r="H68">
        <f t="shared" si="3"/>
        <v>230000</v>
      </c>
      <c r="I68" s="10">
        <f t="shared" ref="I68:I125" si="6">DATE(LEFT(D68,4),RIGHT(D68,2),10)</f>
        <v>45848</v>
      </c>
    </row>
    <row r="69" spans="1:9" x14ac:dyDescent="0.25">
      <c r="A69" t="s">
        <v>644</v>
      </c>
      <c r="B69" t="s">
        <v>62</v>
      </c>
      <c r="C69" t="s">
        <v>185</v>
      </c>
      <c r="D69" t="str">
        <f t="shared" si="5"/>
        <v>2025-08</v>
      </c>
      <c r="E69" t="s">
        <v>187</v>
      </c>
      <c r="F69">
        <v>230000</v>
      </c>
      <c r="H69" t="str">
        <f t="shared" si="3"/>
        <v/>
      </c>
      <c r="I69" s="10">
        <f t="shared" si="6"/>
        <v>45879</v>
      </c>
    </row>
    <row r="70" spans="1:9" x14ac:dyDescent="0.25">
      <c r="A70" t="s">
        <v>645</v>
      </c>
      <c r="B70" t="s">
        <v>62</v>
      </c>
      <c r="C70" t="s">
        <v>185</v>
      </c>
      <c r="D70" t="str">
        <f t="shared" si="5"/>
        <v>2025-09</v>
      </c>
      <c r="E70" t="s">
        <v>188</v>
      </c>
      <c r="F70">
        <v>230000</v>
      </c>
      <c r="H70" t="str">
        <f t="shared" si="3"/>
        <v/>
      </c>
      <c r="I70" s="10">
        <f t="shared" si="6"/>
        <v>45910</v>
      </c>
    </row>
    <row r="71" spans="1:9" x14ac:dyDescent="0.25">
      <c r="A71" t="s">
        <v>646</v>
      </c>
      <c r="B71" t="s">
        <v>62</v>
      </c>
      <c r="C71" t="s">
        <v>185</v>
      </c>
      <c r="D71" t="str">
        <f t="shared" si="5"/>
        <v>2025-10</v>
      </c>
      <c r="E71" t="s">
        <v>189</v>
      </c>
      <c r="F71">
        <v>230000</v>
      </c>
      <c r="H71" t="str">
        <f t="shared" si="3"/>
        <v/>
      </c>
      <c r="I71" s="10">
        <f t="shared" si="6"/>
        <v>45940</v>
      </c>
    </row>
    <row r="72" spans="1:9" x14ac:dyDescent="0.25">
      <c r="A72" t="s">
        <v>647</v>
      </c>
      <c r="B72" t="s">
        <v>62</v>
      </c>
      <c r="C72" t="s">
        <v>185</v>
      </c>
      <c r="D72" t="str">
        <f t="shared" si="5"/>
        <v>2025-11</v>
      </c>
      <c r="E72" t="s">
        <v>190</v>
      </c>
      <c r="F72">
        <v>230000</v>
      </c>
      <c r="H72" t="str">
        <f t="shared" si="3"/>
        <v/>
      </c>
      <c r="I72" s="10">
        <f t="shared" si="6"/>
        <v>45971</v>
      </c>
    </row>
    <row r="73" spans="1:9" x14ac:dyDescent="0.25">
      <c r="A73" t="s">
        <v>648</v>
      </c>
      <c r="B73" t="s">
        <v>62</v>
      </c>
      <c r="C73" t="s">
        <v>185</v>
      </c>
      <c r="D73" t="str">
        <f t="shared" si="5"/>
        <v>2025-12</v>
      </c>
      <c r="E73" t="s">
        <v>191</v>
      </c>
      <c r="F73">
        <v>230000</v>
      </c>
      <c r="H73" t="str">
        <f t="shared" si="3"/>
        <v/>
      </c>
      <c r="I73" s="10">
        <f t="shared" si="6"/>
        <v>46001</v>
      </c>
    </row>
    <row r="74" spans="1:9" x14ac:dyDescent="0.25">
      <c r="A74" t="s">
        <v>649</v>
      </c>
      <c r="B74" t="s">
        <v>67</v>
      </c>
      <c r="C74" t="s">
        <v>185</v>
      </c>
      <c r="D74" t="str">
        <f t="shared" si="5"/>
        <v>2025-07</v>
      </c>
      <c r="E74" t="s">
        <v>186</v>
      </c>
      <c r="F74">
        <v>230000</v>
      </c>
      <c r="G74" t="s">
        <v>1073</v>
      </c>
      <c r="H74">
        <f t="shared" ref="H74:H131" si="7">IF(ISNUMBER(SEARCH("Juli",E74)),230000,"")</f>
        <v>230000</v>
      </c>
      <c r="I74" s="10">
        <f t="shared" si="6"/>
        <v>45848</v>
      </c>
    </row>
    <row r="75" spans="1:9" x14ac:dyDescent="0.25">
      <c r="A75" t="s">
        <v>650</v>
      </c>
      <c r="B75" t="s">
        <v>67</v>
      </c>
      <c r="C75" t="s">
        <v>185</v>
      </c>
      <c r="D75" t="str">
        <f t="shared" si="5"/>
        <v>2025-08</v>
      </c>
      <c r="E75" t="s">
        <v>187</v>
      </c>
      <c r="F75">
        <v>230000</v>
      </c>
      <c r="H75" t="str">
        <f t="shared" si="7"/>
        <v/>
      </c>
      <c r="I75" s="10">
        <f t="shared" si="6"/>
        <v>45879</v>
      </c>
    </row>
    <row r="76" spans="1:9" x14ac:dyDescent="0.25">
      <c r="A76" t="s">
        <v>651</v>
      </c>
      <c r="B76" t="s">
        <v>67</v>
      </c>
      <c r="C76" t="s">
        <v>185</v>
      </c>
      <c r="D76" t="str">
        <f t="shared" si="5"/>
        <v>2025-09</v>
      </c>
      <c r="E76" t="s">
        <v>188</v>
      </c>
      <c r="F76">
        <v>230000</v>
      </c>
      <c r="H76" t="str">
        <f t="shared" si="7"/>
        <v/>
      </c>
      <c r="I76" s="10">
        <f t="shared" si="6"/>
        <v>45910</v>
      </c>
    </row>
    <row r="77" spans="1:9" x14ac:dyDescent="0.25">
      <c r="A77" t="s">
        <v>652</v>
      </c>
      <c r="B77" t="s">
        <v>67</v>
      </c>
      <c r="C77" t="s">
        <v>185</v>
      </c>
      <c r="D77" t="str">
        <f t="shared" si="5"/>
        <v>2025-10</v>
      </c>
      <c r="E77" t="s">
        <v>189</v>
      </c>
      <c r="F77">
        <v>230000</v>
      </c>
      <c r="H77" t="str">
        <f t="shared" si="7"/>
        <v/>
      </c>
      <c r="I77" s="10">
        <f t="shared" si="6"/>
        <v>45940</v>
      </c>
    </row>
    <row r="78" spans="1:9" x14ac:dyDescent="0.25">
      <c r="A78" t="s">
        <v>220</v>
      </c>
      <c r="B78" t="s">
        <v>67</v>
      </c>
      <c r="C78" t="s">
        <v>185</v>
      </c>
      <c r="D78" t="str">
        <f t="shared" si="5"/>
        <v>2025-11</v>
      </c>
      <c r="E78" t="s">
        <v>190</v>
      </c>
      <c r="F78">
        <v>230000</v>
      </c>
      <c r="H78" t="str">
        <f t="shared" si="7"/>
        <v/>
      </c>
      <c r="I78" s="10">
        <f t="shared" si="6"/>
        <v>45971</v>
      </c>
    </row>
    <row r="79" spans="1:9" x14ac:dyDescent="0.25">
      <c r="A79" t="s">
        <v>221</v>
      </c>
      <c r="B79" t="s">
        <v>67</v>
      </c>
      <c r="C79" t="s">
        <v>185</v>
      </c>
      <c r="D79" t="str">
        <f t="shared" si="5"/>
        <v>2025-12</v>
      </c>
      <c r="E79" t="s">
        <v>191</v>
      </c>
      <c r="F79">
        <v>230000</v>
      </c>
      <c r="H79" t="str">
        <f t="shared" si="7"/>
        <v/>
      </c>
      <c r="I79" s="10">
        <f t="shared" si="6"/>
        <v>46001</v>
      </c>
    </row>
    <row r="80" spans="1:9" x14ac:dyDescent="0.25">
      <c r="A80" t="s">
        <v>222</v>
      </c>
      <c r="B80" t="s">
        <v>67</v>
      </c>
      <c r="C80" t="s">
        <v>185</v>
      </c>
      <c r="D80" t="str">
        <f t="shared" si="5"/>
        <v>2026-01</v>
      </c>
      <c r="E80" t="s">
        <v>192</v>
      </c>
      <c r="F80">
        <v>230000</v>
      </c>
      <c r="H80" t="str">
        <f t="shared" si="7"/>
        <v/>
      </c>
      <c r="I80" s="10">
        <f t="shared" si="6"/>
        <v>46032</v>
      </c>
    </row>
    <row r="81" spans="1:9" x14ac:dyDescent="0.25">
      <c r="A81" t="s">
        <v>223</v>
      </c>
      <c r="B81" t="s">
        <v>71</v>
      </c>
      <c r="C81" t="s">
        <v>185</v>
      </c>
      <c r="D81" t="str">
        <f t="shared" si="5"/>
        <v>2026-02</v>
      </c>
      <c r="E81" t="s">
        <v>193</v>
      </c>
      <c r="F81">
        <v>230000</v>
      </c>
      <c r="I81" s="10">
        <f t="shared" si="6"/>
        <v>46063</v>
      </c>
    </row>
    <row r="82" spans="1:9" x14ac:dyDescent="0.25">
      <c r="A82" t="s">
        <v>224</v>
      </c>
      <c r="B82" t="s">
        <v>75</v>
      </c>
      <c r="C82" t="s">
        <v>185</v>
      </c>
      <c r="D82" t="str">
        <f t="shared" si="5"/>
        <v>2026-03</v>
      </c>
      <c r="E82" t="s">
        <v>194</v>
      </c>
      <c r="F82">
        <v>230000</v>
      </c>
      <c r="I82" s="10">
        <f t="shared" si="6"/>
        <v>46091</v>
      </c>
    </row>
    <row r="83" spans="1:9" x14ac:dyDescent="0.25">
      <c r="A83" t="s">
        <v>225</v>
      </c>
      <c r="B83" t="s">
        <v>79</v>
      </c>
      <c r="C83" t="s">
        <v>185</v>
      </c>
      <c r="D83" t="str">
        <f t="shared" si="5"/>
        <v>2026-04</v>
      </c>
      <c r="E83" t="s">
        <v>217</v>
      </c>
      <c r="F83">
        <v>230000</v>
      </c>
      <c r="I83" s="10">
        <f t="shared" si="6"/>
        <v>46122</v>
      </c>
    </row>
    <row r="84" spans="1:9" x14ac:dyDescent="0.25">
      <c r="A84" t="s">
        <v>226</v>
      </c>
      <c r="B84" t="s">
        <v>71</v>
      </c>
      <c r="C84" t="s">
        <v>185</v>
      </c>
      <c r="D84" t="str">
        <f t="shared" si="5"/>
        <v>2025-07</v>
      </c>
      <c r="E84" t="s">
        <v>186</v>
      </c>
      <c r="F84">
        <v>230000</v>
      </c>
      <c r="G84" t="s">
        <v>1072</v>
      </c>
      <c r="H84">
        <f t="shared" si="7"/>
        <v>230000</v>
      </c>
      <c r="I84" s="10">
        <f t="shared" si="6"/>
        <v>45848</v>
      </c>
    </row>
    <row r="85" spans="1:9" x14ac:dyDescent="0.25">
      <c r="A85" t="s">
        <v>227</v>
      </c>
      <c r="B85" t="s">
        <v>71</v>
      </c>
      <c r="C85" t="s">
        <v>185</v>
      </c>
      <c r="D85" t="str">
        <f t="shared" si="5"/>
        <v>2025-08</v>
      </c>
      <c r="E85" t="s">
        <v>187</v>
      </c>
      <c r="F85">
        <v>230000</v>
      </c>
      <c r="G85" t="s">
        <v>1072</v>
      </c>
      <c r="H85">
        <v>230000</v>
      </c>
      <c r="I85" s="10">
        <f t="shared" si="6"/>
        <v>45879</v>
      </c>
    </row>
    <row r="86" spans="1:9" x14ac:dyDescent="0.25">
      <c r="A86" t="s">
        <v>228</v>
      </c>
      <c r="B86" t="s">
        <v>71</v>
      </c>
      <c r="C86" t="s">
        <v>185</v>
      </c>
      <c r="D86" t="str">
        <f t="shared" si="5"/>
        <v>2025-09</v>
      </c>
      <c r="E86" t="s">
        <v>188</v>
      </c>
      <c r="F86">
        <v>230000</v>
      </c>
      <c r="G86" t="s">
        <v>1072</v>
      </c>
      <c r="H86">
        <v>230000</v>
      </c>
      <c r="I86" s="10">
        <f t="shared" si="6"/>
        <v>45910</v>
      </c>
    </row>
    <row r="87" spans="1:9" x14ac:dyDescent="0.25">
      <c r="A87" t="s">
        <v>653</v>
      </c>
      <c r="B87" t="s">
        <v>71</v>
      </c>
      <c r="C87" t="s">
        <v>185</v>
      </c>
      <c r="D87" t="str">
        <f t="shared" si="5"/>
        <v>2025-10</v>
      </c>
      <c r="E87" t="s">
        <v>189</v>
      </c>
      <c r="F87">
        <v>230000</v>
      </c>
      <c r="G87" t="s">
        <v>1072</v>
      </c>
      <c r="H87">
        <v>230000</v>
      </c>
      <c r="I87" s="10">
        <f t="shared" si="6"/>
        <v>45940</v>
      </c>
    </row>
    <row r="88" spans="1:9" x14ac:dyDescent="0.25">
      <c r="A88" t="s">
        <v>229</v>
      </c>
      <c r="B88" t="s">
        <v>71</v>
      </c>
      <c r="C88" t="s">
        <v>185</v>
      </c>
      <c r="D88" t="str">
        <f t="shared" si="5"/>
        <v>2025-11</v>
      </c>
      <c r="E88" t="s">
        <v>190</v>
      </c>
      <c r="F88">
        <v>230000</v>
      </c>
      <c r="G88" t="s">
        <v>1072</v>
      </c>
      <c r="H88">
        <v>230000</v>
      </c>
      <c r="I88" s="10">
        <f t="shared" si="6"/>
        <v>45971</v>
      </c>
    </row>
    <row r="89" spans="1:9" x14ac:dyDescent="0.25">
      <c r="A89" t="s">
        <v>230</v>
      </c>
      <c r="B89" t="s">
        <v>71</v>
      </c>
      <c r="C89" t="s">
        <v>185</v>
      </c>
      <c r="D89" t="str">
        <f t="shared" si="5"/>
        <v>2025-12</v>
      </c>
      <c r="E89" t="s">
        <v>191</v>
      </c>
      <c r="F89">
        <v>230000</v>
      </c>
      <c r="G89" t="s">
        <v>1072</v>
      </c>
      <c r="H89">
        <v>230000</v>
      </c>
      <c r="I89" s="10">
        <f t="shared" si="6"/>
        <v>46001</v>
      </c>
    </row>
    <row r="90" spans="1:9" x14ac:dyDescent="0.25">
      <c r="A90" t="s">
        <v>231</v>
      </c>
      <c r="B90" t="s">
        <v>71</v>
      </c>
      <c r="C90" t="s">
        <v>185</v>
      </c>
      <c r="D90" t="str">
        <f t="shared" si="5"/>
        <v>2026-01</v>
      </c>
      <c r="E90" t="s">
        <v>192</v>
      </c>
      <c r="F90">
        <v>230000</v>
      </c>
      <c r="G90" t="s">
        <v>1072</v>
      </c>
      <c r="H90">
        <v>230000</v>
      </c>
      <c r="I90" s="10">
        <f t="shared" si="6"/>
        <v>46032</v>
      </c>
    </row>
    <row r="91" spans="1:9" x14ac:dyDescent="0.25">
      <c r="A91" t="s">
        <v>232</v>
      </c>
      <c r="B91" t="s">
        <v>71</v>
      </c>
      <c r="C91" t="s">
        <v>185</v>
      </c>
      <c r="D91" t="str">
        <f t="shared" si="5"/>
        <v>2026-02</v>
      </c>
      <c r="E91" t="s">
        <v>193</v>
      </c>
      <c r="F91">
        <v>230000</v>
      </c>
      <c r="G91" t="s">
        <v>1072</v>
      </c>
      <c r="H91">
        <v>230000</v>
      </c>
      <c r="I91" s="10">
        <f t="shared" si="6"/>
        <v>46063</v>
      </c>
    </row>
    <row r="92" spans="1:9" x14ac:dyDescent="0.25">
      <c r="A92" t="s">
        <v>233</v>
      </c>
      <c r="B92" t="s">
        <v>71</v>
      </c>
      <c r="C92" t="s">
        <v>185</v>
      </c>
      <c r="D92" t="str">
        <f t="shared" si="5"/>
        <v>2026-03</v>
      </c>
      <c r="E92" t="s">
        <v>194</v>
      </c>
      <c r="F92">
        <v>230000</v>
      </c>
      <c r="G92" t="s">
        <v>1072</v>
      </c>
      <c r="H92">
        <v>230000</v>
      </c>
      <c r="I92" s="10">
        <f t="shared" si="6"/>
        <v>46091</v>
      </c>
    </row>
    <row r="93" spans="1:9" x14ac:dyDescent="0.25">
      <c r="A93" t="s">
        <v>234</v>
      </c>
      <c r="B93" t="s">
        <v>71</v>
      </c>
      <c r="C93" t="s">
        <v>185</v>
      </c>
      <c r="D93" t="str">
        <f t="shared" si="5"/>
        <v>2026-04</v>
      </c>
      <c r="E93" t="s">
        <v>217</v>
      </c>
      <c r="F93">
        <v>230000</v>
      </c>
      <c r="G93" t="s">
        <v>1072</v>
      </c>
      <c r="H93">
        <v>230000</v>
      </c>
      <c r="I93" s="10">
        <f t="shared" si="6"/>
        <v>46122</v>
      </c>
    </row>
    <row r="94" spans="1:9" x14ac:dyDescent="0.25">
      <c r="A94" t="s">
        <v>235</v>
      </c>
      <c r="B94" t="s">
        <v>75</v>
      </c>
      <c r="C94" t="s">
        <v>185</v>
      </c>
      <c r="D94" t="str">
        <f t="shared" si="5"/>
        <v>2025-07</v>
      </c>
      <c r="E94" t="s">
        <v>186</v>
      </c>
      <c r="F94">
        <v>220000</v>
      </c>
      <c r="G94" t="s">
        <v>1073</v>
      </c>
      <c r="H94">
        <f t="shared" si="7"/>
        <v>230000</v>
      </c>
      <c r="I94" s="10">
        <f t="shared" si="6"/>
        <v>45848</v>
      </c>
    </row>
    <row r="95" spans="1:9" x14ac:dyDescent="0.25">
      <c r="A95" t="s">
        <v>236</v>
      </c>
      <c r="B95" t="s">
        <v>75</v>
      </c>
      <c r="C95" t="s">
        <v>185</v>
      </c>
      <c r="D95" t="str">
        <f t="shared" si="5"/>
        <v>2025-08</v>
      </c>
      <c r="E95" t="s">
        <v>187</v>
      </c>
      <c r="F95">
        <v>220000</v>
      </c>
      <c r="H95" t="str">
        <f t="shared" si="7"/>
        <v/>
      </c>
      <c r="I95" s="10">
        <f t="shared" si="6"/>
        <v>45879</v>
      </c>
    </row>
    <row r="96" spans="1:9" x14ac:dyDescent="0.25">
      <c r="A96" t="s">
        <v>237</v>
      </c>
      <c r="B96" t="s">
        <v>75</v>
      </c>
      <c r="C96" t="s">
        <v>185</v>
      </c>
      <c r="D96" t="str">
        <f t="shared" si="5"/>
        <v>2025-09</v>
      </c>
      <c r="E96" t="s">
        <v>188</v>
      </c>
      <c r="F96">
        <v>220000</v>
      </c>
      <c r="H96" t="str">
        <f t="shared" si="7"/>
        <v/>
      </c>
      <c r="I96" s="10">
        <f t="shared" si="6"/>
        <v>45910</v>
      </c>
    </row>
    <row r="97" spans="1:9" x14ac:dyDescent="0.25">
      <c r="A97" t="s">
        <v>654</v>
      </c>
      <c r="B97" t="s">
        <v>75</v>
      </c>
      <c r="C97" t="s">
        <v>185</v>
      </c>
      <c r="D97" t="str">
        <f t="shared" si="5"/>
        <v>2025-10</v>
      </c>
      <c r="E97" t="s">
        <v>189</v>
      </c>
      <c r="F97">
        <v>220000</v>
      </c>
      <c r="H97" t="str">
        <f t="shared" si="7"/>
        <v/>
      </c>
      <c r="I97" s="10">
        <f t="shared" si="6"/>
        <v>45940</v>
      </c>
    </row>
    <row r="98" spans="1:9" x14ac:dyDescent="0.25">
      <c r="A98" t="s">
        <v>238</v>
      </c>
      <c r="B98" t="s">
        <v>75</v>
      </c>
      <c r="C98" t="s">
        <v>185</v>
      </c>
      <c r="D98" t="str">
        <f t="shared" si="5"/>
        <v>2025-11</v>
      </c>
      <c r="E98" t="s">
        <v>190</v>
      </c>
      <c r="F98">
        <v>220000</v>
      </c>
      <c r="H98" t="str">
        <f t="shared" si="7"/>
        <v/>
      </c>
      <c r="I98" s="10">
        <f t="shared" si="6"/>
        <v>45971</v>
      </c>
    </row>
    <row r="99" spans="1:9" x14ac:dyDescent="0.25">
      <c r="A99" t="s">
        <v>239</v>
      </c>
      <c r="B99" t="s">
        <v>75</v>
      </c>
      <c r="C99" t="s">
        <v>185</v>
      </c>
      <c r="D99" t="str">
        <f t="shared" si="5"/>
        <v>2025-12</v>
      </c>
      <c r="E99" t="s">
        <v>191</v>
      </c>
      <c r="F99">
        <v>220000</v>
      </c>
      <c r="H99" t="str">
        <f t="shared" si="7"/>
        <v/>
      </c>
      <c r="I99" s="10">
        <f t="shared" si="6"/>
        <v>46001</v>
      </c>
    </row>
    <row r="100" spans="1:9" x14ac:dyDescent="0.25">
      <c r="A100" t="s">
        <v>240</v>
      </c>
      <c r="B100" t="s">
        <v>75</v>
      </c>
      <c r="C100" t="s">
        <v>185</v>
      </c>
      <c r="D100" t="str">
        <f t="shared" si="5"/>
        <v>2026-01</v>
      </c>
      <c r="E100" t="s">
        <v>192</v>
      </c>
      <c r="F100">
        <v>220000</v>
      </c>
      <c r="H100" t="str">
        <f t="shared" si="7"/>
        <v/>
      </c>
      <c r="I100" s="10">
        <f t="shared" si="6"/>
        <v>46032</v>
      </c>
    </row>
    <row r="101" spans="1:9" x14ac:dyDescent="0.25">
      <c r="A101" t="s">
        <v>241</v>
      </c>
      <c r="B101" t="s">
        <v>75</v>
      </c>
      <c r="C101" t="s">
        <v>185</v>
      </c>
      <c r="D101" t="str">
        <f t="shared" si="5"/>
        <v>2026-02</v>
      </c>
      <c r="E101" t="s">
        <v>193</v>
      </c>
      <c r="F101">
        <v>220000</v>
      </c>
      <c r="H101" t="str">
        <f t="shared" si="7"/>
        <v/>
      </c>
      <c r="I101" s="10">
        <f t="shared" si="6"/>
        <v>46063</v>
      </c>
    </row>
    <row r="102" spans="1:9" x14ac:dyDescent="0.25">
      <c r="A102" t="s">
        <v>242</v>
      </c>
      <c r="B102" t="s">
        <v>75</v>
      </c>
      <c r="C102" t="s">
        <v>185</v>
      </c>
      <c r="D102" t="str">
        <f t="shared" si="5"/>
        <v>2026-03</v>
      </c>
      <c r="E102" t="s">
        <v>194</v>
      </c>
      <c r="F102">
        <v>220000</v>
      </c>
      <c r="H102" t="str">
        <f t="shared" si="7"/>
        <v/>
      </c>
      <c r="I102" s="10">
        <f t="shared" si="6"/>
        <v>46091</v>
      </c>
    </row>
    <row r="103" spans="1:9" x14ac:dyDescent="0.25">
      <c r="A103" t="s">
        <v>243</v>
      </c>
      <c r="B103" t="s">
        <v>75</v>
      </c>
      <c r="C103" t="s">
        <v>185</v>
      </c>
      <c r="D103" t="str">
        <f t="shared" si="5"/>
        <v>2026-04</v>
      </c>
      <c r="E103" t="s">
        <v>217</v>
      </c>
      <c r="F103">
        <v>220000</v>
      </c>
      <c r="H103" t="str">
        <f t="shared" si="7"/>
        <v/>
      </c>
      <c r="I103" s="10">
        <f t="shared" si="6"/>
        <v>46122</v>
      </c>
    </row>
    <row r="104" spans="1:9" x14ac:dyDescent="0.25">
      <c r="A104" t="s">
        <v>244</v>
      </c>
      <c r="B104" t="s">
        <v>79</v>
      </c>
      <c r="C104" t="s">
        <v>185</v>
      </c>
      <c r="D104" t="str">
        <f t="shared" si="5"/>
        <v>2025-07</v>
      </c>
      <c r="E104" t="s">
        <v>186</v>
      </c>
      <c r="F104">
        <v>230000</v>
      </c>
      <c r="G104" t="s">
        <v>1073</v>
      </c>
      <c r="H104">
        <f t="shared" si="7"/>
        <v>230000</v>
      </c>
      <c r="I104" s="10">
        <f t="shared" si="6"/>
        <v>45848</v>
      </c>
    </row>
    <row r="105" spans="1:9" x14ac:dyDescent="0.25">
      <c r="A105" t="s">
        <v>245</v>
      </c>
      <c r="B105" t="s">
        <v>79</v>
      </c>
      <c r="C105" t="s">
        <v>185</v>
      </c>
      <c r="D105" t="str">
        <f t="shared" si="5"/>
        <v>2025-08</v>
      </c>
      <c r="E105" t="s">
        <v>187</v>
      </c>
      <c r="F105">
        <v>230000</v>
      </c>
      <c r="H105" t="str">
        <f t="shared" si="7"/>
        <v/>
      </c>
      <c r="I105" s="10">
        <f t="shared" si="6"/>
        <v>45879</v>
      </c>
    </row>
    <row r="106" spans="1:9" x14ac:dyDescent="0.25">
      <c r="A106" t="s">
        <v>246</v>
      </c>
      <c r="B106" t="s">
        <v>79</v>
      </c>
      <c r="C106" t="s">
        <v>185</v>
      </c>
      <c r="D106" t="str">
        <f t="shared" si="5"/>
        <v>2025-09</v>
      </c>
      <c r="E106" t="s">
        <v>188</v>
      </c>
      <c r="F106">
        <v>230000</v>
      </c>
      <c r="H106" t="str">
        <f t="shared" si="7"/>
        <v/>
      </c>
      <c r="I106" s="10">
        <f t="shared" si="6"/>
        <v>45910</v>
      </c>
    </row>
    <row r="107" spans="1:9" x14ac:dyDescent="0.25">
      <c r="A107" t="s">
        <v>655</v>
      </c>
      <c r="B107" t="s">
        <v>79</v>
      </c>
      <c r="C107" t="s">
        <v>185</v>
      </c>
      <c r="D107" t="str">
        <f t="shared" si="5"/>
        <v>2025-10</v>
      </c>
      <c r="E107" t="s">
        <v>189</v>
      </c>
      <c r="F107">
        <v>230000</v>
      </c>
      <c r="H107" t="str">
        <f t="shared" si="7"/>
        <v/>
      </c>
      <c r="I107" s="10">
        <f t="shared" si="6"/>
        <v>45940</v>
      </c>
    </row>
    <row r="108" spans="1:9" x14ac:dyDescent="0.25">
      <c r="A108" t="s">
        <v>247</v>
      </c>
      <c r="B108" t="s">
        <v>79</v>
      </c>
      <c r="C108" t="s">
        <v>185</v>
      </c>
      <c r="D108" t="str">
        <f t="shared" si="5"/>
        <v>2025-11</v>
      </c>
      <c r="E108" t="s">
        <v>190</v>
      </c>
      <c r="F108">
        <v>230000</v>
      </c>
      <c r="H108" t="str">
        <f t="shared" si="7"/>
        <v/>
      </c>
      <c r="I108" s="10">
        <f t="shared" si="6"/>
        <v>45971</v>
      </c>
    </row>
    <row r="109" spans="1:9" x14ac:dyDescent="0.25">
      <c r="A109" t="s">
        <v>656</v>
      </c>
      <c r="B109" t="s">
        <v>79</v>
      </c>
      <c r="C109" t="s">
        <v>185</v>
      </c>
      <c r="D109" t="str">
        <f t="shared" si="5"/>
        <v>2025-12</v>
      </c>
      <c r="E109" t="s">
        <v>191</v>
      </c>
      <c r="F109">
        <v>230000</v>
      </c>
      <c r="H109" t="str">
        <f t="shared" si="7"/>
        <v/>
      </c>
      <c r="I109" s="10">
        <f t="shared" si="6"/>
        <v>46001</v>
      </c>
    </row>
    <row r="110" spans="1:9" x14ac:dyDescent="0.25">
      <c r="A110" t="s">
        <v>657</v>
      </c>
      <c r="B110" t="s">
        <v>79</v>
      </c>
      <c r="C110" t="s">
        <v>185</v>
      </c>
      <c r="D110" t="str">
        <f t="shared" si="5"/>
        <v>2026-01</v>
      </c>
      <c r="E110" t="s">
        <v>192</v>
      </c>
      <c r="F110">
        <v>230000</v>
      </c>
      <c r="H110" t="str">
        <f t="shared" si="7"/>
        <v/>
      </c>
      <c r="I110" s="10">
        <f t="shared" si="6"/>
        <v>46032</v>
      </c>
    </row>
    <row r="111" spans="1:9" x14ac:dyDescent="0.25">
      <c r="A111" t="s">
        <v>658</v>
      </c>
      <c r="B111" t="s">
        <v>79</v>
      </c>
      <c r="C111" t="s">
        <v>185</v>
      </c>
      <c r="D111" t="str">
        <f t="shared" si="5"/>
        <v>2026-02</v>
      </c>
      <c r="E111" t="s">
        <v>193</v>
      </c>
      <c r="F111">
        <v>230000</v>
      </c>
      <c r="H111" t="str">
        <f t="shared" si="7"/>
        <v/>
      </c>
      <c r="I111" s="10">
        <f t="shared" si="6"/>
        <v>46063</v>
      </c>
    </row>
    <row r="112" spans="1:9" x14ac:dyDescent="0.25">
      <c r="A112" t="s">
        <v>659</v>
      </c>
      <c r="B112" t="s">
        <v>79</v>
      </c>
      <c r="C112" t="s">
        <v>185</v>
      </c>
      <c r="D112" t="str">
        <f t="shared" si="5"/>
        <v>2026-03</v>
      </c>
      <c r="E112" t="s">
        <v>194</v>
      </c>
      <c r="F112">
        <v>230000</v>
      </c>
      <c r="H112" t="str">
        <f t="shared" si="7"/>
        <v/>
      </c>
      <c r="I112" s="10">
        <f t="shared" si="6"/>
        <v>46091</v>
      </c>
    </row>
    <row r="113" spans="1:9" x14ac:dyDescent="0.25">
      <c r="A113" t="s">
        <v>660</v>
      </c>
      <c r="B113" t="s">
        <v>79</v>
      </c>
      <c r="C113" t="s">
        <v>185</v>
      </c>
      <c r="D113" t="str">
        <f t="shared" si="5"/>
        <v>2026-04</v>
      </c>
      <c r="E113" t="s">
        <v>217</v>
      </c>
      <c r="F113">
        <v>230000</v>
      </c>
      <c r="H113" t="str">
        <f t="shared" si="7"/>
        <v/>
      </c>
      <c r="I113" s="10">
        <f t="shared" si="6"/>
        <v>46122</v>
      </c>
    </row>
    <row r="114" spans="1:9" x14ac:dyDescent="0.25">
      <c r="A114" t="s">
        <v>661</v>
      </c>
      <c r="B114" t="s">
        <v>83</v>
      </c>
      <c r="C114" t="s">
        <v>185</v>
      </c>
      <c r="D114" t="str">
        <f t="shared" si="5"/>
        <v>2025-07</v>
      </c>
      <c r="E114" t="s">
        <v>186</v>
      </c>
      <c r="F114">
        <v>230000</v>
      </c>
      <c r="G114" t="s">
        <v>1073</v>
      </c>
      <c r="H114">
        <f t="shared" si="7"/>
        <v>230000</v>
      </c>
      <c r="I114" s="10">
        <f t="shared" si="6"/>
        <v>45848</v>
      </c>
    </row>
    <row r="115" spans="1:9" x14ac:dyDescent="0.25">
      <c r="A115" t="s">
        <v>662</v>
      </c>
      <c r="B115" t="s">
        <v>83</v>
      </c>
      <c r="C115" t="s">
        <v>185</v>
      </c>
      <c r="D115" t="str">
        <f t="shared" si="5"/>
        <v>2025-08</v>
      </c>
      <c r="E115" t="s">
        <v>187</v>
      </c>
      <c r="F115">
        <v>230000</v>
      </c>
      <c r="H115" t="str">
        <f t="shared" si="7"/>
        <v/>
      </c>
      <c r="I115" s="10">
        <f t="shared" si="6"/>
        <v>45879</v>
      </c>
    </row>
    <row r="116" spans="1:9" x14ac:dyDescent="0.25">
      <c r="A116" t="s">
        <v>663</v>
      </c>
      <c r="B116" t="s">
        <v>83</v>
      </c>
      <c r="C116" t="s">
        <v>185</v>
      </c>
      <c r="D116" t="str">
        <f t="shared" si="5"/>
        <v>2025-09</v>
      </c>
      <c r="E116" t="s">
        <v>188</v>
      </c>
      <c r="F116">
        <v>230000</v>
      </c>
      <c r="H116" t="str">
        <f t="shared" si="7"/>
        <v/>
      </c>
      <c r="I116" s="10">
        <f t="shared" si="6"/>
        <v>45910</v>
      </c>
    </row>
    <row r="117" spans="1:9" x14ac:dyDescent="0.25">
      <c r="A117" t="s">
        <v>664</v>
      </c>
      <c r="B117" t="s">
        <v>83</v>
      </c>
      <c r="C117" t="s">
        <v>185</v>
      </c>
      <c r="D117" t="str">
        <f t="shared" si="5"/>
        <v>2025-10</v>
      </c>
      <c r="E117" t="s">
        <v>189</v>
      </c>
      <c r="F117">
        <v>230000</v>
      </c>
      <c r="H117" t="str">
        <f t="shared" si="7"/>
        <v/>
      </c>
      <c r="I117" s="10">
        <f t="shared" si="6"/>
        <v>45940</v>
      </c>
    </row>
    <row r="118" spans="1:9" x14ac:dyDescent="0.25">
      <c r="A118" t="s">
        <v>248</v>
      </c>
      <c r="B118" t="s">
        <v>83</v>
      </c>
      <c r="C118" t="s">
        <v>185</v>
      </c>
      <c r="D118" t="str">
        <f t="shared" si="5"/>
        <v>2025-11</v>
      </c>
      <c r="E118" t="s">
        <v>190</v>
      </c>
      <c r="F118">
        <v>230000</v>
      </c>
      <c r="H118" t="str">
        <f t="shared" si="7"/>
        <v/>
      </c>
      <c r="I118" s="10">
        <f t="shared" si="6"/>
        <v>45971</v>
      </c>
    </row>
    <row r="119" spans="1:9" x14ac:dyDescent="0.25">
      <c r="A119" t="s">
        <v>249</v>
      </c>
      <c r="B119" t="s">
        <v>83</v>
      </c>
      <c r="C119" t="s">
        <v>185</v>
      </c>
      <c r="D119" t="str">
        <f t="shared" si="5"/>
        <v>2025-12</v>
      </c>
      <c r="E119" t="s">
        <v>191</v>
      </c>
      <c r="F119">
        <v>230000</v>
      </c>
      <c r="H119" t="str">
        <f t="shared" si="7"/>
        <v/>
      </c>
      <c r="I119" s="10">
        <f t="shared" si="6"/>
        <v>46001</v>
      </c>
    </row>
    <row r="120" spans="1:9" x14ac:dyDescent="0.25">
      <c r="A120" t="s">
        <v>250</v>
      </c>
      <c r="B120" t="s">
        <v>83</v>
      </c>
      <c r="C120" t="s">
        <v>185</v>
      </c>
      <c r="D120" t="str">
        <f t="shared" si="5"/>
        <v>2026-01</v>
      </c>
      <c r="E120" t="s">
        <v>192</v>
      </c>
      <c r="F120">
        <v>230000</v>
      </c>
      <c r="H120" t="str">
        <f t="shared" si="7"/>
        <v/>
      </c>
      <c r="I120" s="10">
        <f t="shared" si="6"/>
        <v>46032</v>
      </c>
    </row>
    <row r="121" spans="1:9" x14ac:dyDescent="0.25">
      <c r="A121" t="s">
        <v>251</v>
      </c>
      <c r="B121" t="s">
        <v>83</v>
      </c>
      <c r="C121" t="s">
        <v>185</v>
      </c>
      <c r="D121" t="str">
        <f t="shared" si="5"/>
        <v>2026-02</v>
      </c>
      <c r="E121" t="s">
        <v>193</v>
      </c>
      <c r="F121">
        <v>230000</v>
      </c>
      <c r="H121" t="str">
        <f t="shared" si="7"/>
        <v/>
      </c>
      <c r="I121" s="10">
        <f t="shared" si="6"/>
        <v>46063</v>
      </c>
    </row>
    <row r="122" spans="1:9" x14ac:dyDescent="0.25">
      <c r="A122" t="s">
        <v>252</v>
      </c>
      <c r="B122" t="s">
        <v>83</v>
      </c>
      <c r="C122" t="s">
        <v>185</v>
      </c>
      <c r="D122" t="str">
        <f t="shared" si="5"/>
        <v>2026-03</v>
      </c>
      <c r="E122" t="s">
        <v>194</v>
      </c>
      <c r="F122">
        <v>230000</v>
      </c>
      <c r="H122" t="str">
        <f t="shared" si="7"/>
        <v/>
      </c>
      <c r="I122" s="10">
        <f t="shared" si="6"/>
        <v>46091</v>
      </c>
    </row>
    <row r="123" spans="1:9" x14ac:dyDescent="0.25">
      <c r="A123" t="s">
        <v>253</v>
      </c>
      <c r="B123" t="s">
        <v>83</v>
      </c>
      <c r="C123" t="s">
        <v>185</v>
      </c>
      <c r="D123" t="str">
        <f t="shared" si="5"/>
        <v>2026-04</v>
      </c>
      <c r="E123" t="s">
        <v>217</v>
      </c>
      <c r="F123">
        <v>230000</v>
      </c>
      <c r="H123" t="str">
        <f t="shared" si="7"/>
        <v/>
      </c>
      <c r="I123" s="10">
        <f t="shared" si="6"/>
        <v>46122</v>
      </c>
    </row>
    <row r="124" spans="1:9" x14ac:dyDescent="0.25">
      <c r="A124" t="s">
        <v>254</v>
      </c>
      <c r="B124" t="s">
        <v>83</v>
      </c>
      <c r="C124" t="s">
        <v>185</v>
      </c>
      <c r="D124" t="str">
        <f t="shared" si="5"/>
        <v>2026-05</v>
      </c>
      <c r="E124" t="s">
        <v>218</v>
      </c>
      <c r="F124">
        <v>230000</v>
      </c>
      <c r="H124" t="str">
        <f t="shared" si="7"/>
        <v/>
      </c>
      <c r="I124" s="10">
        <f t="shared" si="6"/>
        <v>46152</v>
      </c>
    </row>
    <row r="125" spans="1:9" x14ac:dyDescent="0.25">
      <c r="A125" t="s">
        <v>255</v>
      </c>
      <c r="B125" t="s">
        <v>83</v>
      </c>
      <c r="C125" t="s">
        <v>185</v>
      </c>
      <c r="D125" t="str">
        <f t="shared" si="5"/>
        <v>2026-06</v>
      </c>
      <c r="E125" t="s">
        <v>219</v>
      </c>
      <c r="F125">
        <v>230000</v>
      </c>
      <c r="H125" t="str">
        <f t="shared" si="7"/>
        <v/>
      </c>
      <c r="I125" s="10">
        <f t="shared" si="6"/>
        <v>46183</v>
      </c>
    </row>
    <row r="126" spans="1:9" x14ac:dyDescent="0.25">
      <c r="A126" t="s">
        <v>665</v>
      </c>
      <c r="B126" t="s">
        <v>87</v>
      </c>
      <c r="C126" t="s">
        <v>185</v>
      </c>
      <c r="D126" t="str">
        <f t="shared" ref="D126:D188" si="8">IF(ISNUMBER(SEARCH("Juli",E126)),"2025-07",
IF(ISNUMBER(SEARCH("Agustus",E126)),"2025-08",
IF(ISNUMBER(SEARCH("September",E126)),"2025-09",
IF(ISNUMBER(SEARCH("Oktober",E126)),"2025-10",
IF(ISNUMBER(SEARCH("November",E126)),"2025-11",
IF(ISNUMBER(SEARCH("Desember",E126)),"2025-12",
IF(ISNUMBER(SEARCH("Januari",E126)),"2026-01",
IF(ISNUMBER(SEARCH("Februari",E126)),"2026-02",
IF(ISNUMBER(SEARCH("Maret",E126)),"2026-03",
IF(ISNUMBER(SEARCH("April",E126)),"2026-04",
IF(ISNUMBER(SEARCH("Mei",E126)),"2026-05",
IF(ISNUMBER(SEARCH("Juni",E126)),"2026-06",""))))))))))))</f>
        <v>2026-01</v>
      </c>
      <c r="E126" t="s">
        <v>192</v>
      </c>
      <c r="F126">
        <v>230000</v>
      </c>
      <c r="H126" t="str">
        <f t="shared" si="7"/>
        <v/>
      </c>
      <c r="I126" s="10">
        <f t="shared" ref="I126:I188" si="9">DATE(LEFT(D126,4),RIGHT(D126,2),10)</f>
        <v>46032</v>
      </c>
    </row>
    <row r="127" spans="1:9" x14ac:dyDescent="0.25">
      <c r="A127" t="s">
        <v>666</v>
      </c>
      <c r="B127" t="s">
        <v>87</v>
      </c>
      <c r="C127" t="s">
        <v>185</v>
      </c>
      <c r="D127" t="str">
        <f t="shared" si="8"/>
        <v>2026-02</v>
      </c>
      <c r="E127" t="s">
        <v>193</v>
      </c>
      <c r="F127">
        <v>230000</v>
      </c>
      <c r="H127" t="str">
        <f t="shared" si="7"/>
        <v/>
      </c>
      <c r="I127" s="10">
        <f t="shared" si="9"/>
        <v>46063</v>
      </c>
    </row>
    <row r="128" spans="1:9" x14ac:dyDescent="0.25">
      <c r="A128" t="s">
        <v>256</v>
      </c>
      <c r="B128" t="s">
        <v>87</v>
      </c>
      <c r="C128" t="s">
        <v>185</v>
      </c>
      <c r="D128" t="str">
        <f t="shared" si="8"/>
        <v>2026-03</v>
      </c>
      <c r="E128" t="s">
        <v>194</v>
      </c>
      <c r="F128">
        <v>230000</v>
      </c>
      <c r="H128" t="str">
        <f t="shared" si="7"/>
        <v/>
      </c>
      <c r="I128" s="10">
        <f t="shared" si="9"/>
        <v>46091</v>
      </c>
    </row>
    <row r="129" spans="1:9" x14ac:dyDescent="0.25">
      <c r="A129" t="s">
        <v>257</v>
      </c>
      <c r="B129" t="s">
        <v>87</v>
      </c>
      <c r="C129" t="s">
        <v>185</v>
      </c>
      <c r="D129" t="str">
        <f t="shared" si="8"/>
        <v>2026-04</v>
      </c>
      <c r="E129" t="s">
        <v>217</v>
      </c>
      <c r="F129">
        <v>230000</v>
      </c>
      <c r="H129" t="str">
        <f t="shared" si="7"/>
        <v/>
      </c>
      <c r="I129" s="10">
        <f t="shared" si="9"/>
        <v>46122</v>
      </c>
    </row>
    <row r="130" spans="1:9" x14ac:dyDescent="0.25">
      <c r="A130" t="s">
        <v>258</v>
      </c>
      <c r="B130" t="s">
        <v>87</v>
      </c>
      <c r="C130" t="s">
        <v>185</v>
      </c>
      <c r="D130" t="str">
        <f t="shared" si="8"/>
        <v>2026-05</v>
      </c>
      <c r="E130" t="s">
        <v>218</v>
      </c>
      <c r="F130">
        <v>230000</v>
      </c>
      <c r="H130" t="str">
        <f t="shared" si="7"/>
        <v/>
      </c>
      <c r="I130" s="10">
        <f t="shared" si="9"/>
        <v>46152</v>
      </c>
    </row>
    <row r="131" spans="1:9" x14ac:dyDescent="0.25">
      <c r="A131" t="s">
        <v>259</v>
      </c>
      <c r="B131" t="s">
        <v>87</v>
      </c>
      <c r="C131" t="s">
        <v>185</v>
      </c>
      <c r="D131" t="str">
        <f t="shared" si="8"/>
        <v>2026-06</v>
      </c>
      <c r="E131" t="s">
        <v>219</v>
      </c>
      <c r="F131">
        <v>230000</v>
      </c>
      <c r="H131" t="str">
        <f t="shared" si="7"/>
        <v/>
      </c>
      <c r="I131" s="10">
        <f t="shared" si="9"/>
        <v>46183</v>
      </c>
    </row>
    <row r="132" spans="1:9" x14ac:dyDescent="0.25">
      <c r="A132" t="s">
        <v>260</v>
      </c>
      <c r="B132" t="s">
        <v>91</v>
      </c>
      <c r="C132" t="s">
        <v>185</v>
      </c>
      <c r="D132" t="str">
        <f t="shared" si="8"/>
        <v>2025-07</v>
      </c>
      <c r="E132" t="s">
        <v>186</v>
      </c>
      <c r="F132">
        <v>230000</v>
      </c>
      <c r="G132" t="s">
        <v>1073</v>
      </c>
      <c r="H132">
        <f t="shared" ref="H132:H195" si="10">IF(ISNUMBER(SEARCH("Juli",E132)),230000,"")</f>
        <v>230000</v>
      </c>
      <c r="I132" s="10">
        <f t="shared" si="9"/>
        <v>45848</v>
      </c>
    </row>
    <row r="133" spans="1:9" x14ac:dyDescent="0.25">
      <c r="A133" t="s">
        <v>261</v>
      </c>
      <c r="B133" t="s">
        <v>91</v>
      </c>
      <c r="C133" t="s">
        <v>185</v>
      </c>
      <c r="D133" t="str">
        <f t="shared" si="8"/>
        <v>2025-08</v>
      </c>
      <c r="E133" t="s">
        <v>187</v>
      </c>
      <c r="F133">
        <v>230000</v>
      </c>
      <c r="H133" t="str">
        <f t="shared" si="10"/>
        <v/>
      </c>
      <c r="I133" s="10">
        <f t="shared" si="9"/>
        <v>45879</v>
      </c>
    </row>
    <row r="134" spans="1:9" x14ac:dyDescent="0.25">
      <c r="A134" t="s">
        <v>667</v>
      </c>
      <c r="B134" t="s">
        <v>91</v>
      </c>
      <c r="C134" t="s">
        <v>185</v>
      </c>
      <c r="D134" t="str">
        <f t="shared" si="8"/>
        <v>2025-09</v>
      </c>
      <c r="E134" t="s">
        <v>188</v>
      </c>
      <c r="F134">
        <v>230000</v>
      </c>
      <c r="H134" t="str">
        <f t="shared" si="10"/>
        <v/>
      </c>
      <c r="I134" s="10">
        <f t="shared" si="9"/>
        <v>45910</v>
      </c>
    </row>
    <row r="135" spans="1:9" x14ac:dyDescent="0.25">
      <c r="A135" t="s">
        <v>262</v>
      </c>
      <c r="B135" t="s">
        <v>91</v>
      </c>
      <c r="C135" t="s">
        <v>185</v>
      </c>
      <c r="D135" t="str">
        <f t="shared" si="8"/>
        <v>2025-10</v>
      </c>
      <c r="E135" t="s">
        <v>189</v>
      </c>
      <c r="F135">
        <v>230000</v>
      </c>
      <c r="H135" t="str">
        <f t="shared" si="10"/>
        <v/>
      </c>
      <c r="I135" s="10">
        <f t="shared" si="9"/>
        <v>45940</v>
      </c>
    </row>
    <row r="136" spans="1:9" x14ac:dyDescent="0.25">
      <c r="A136" t="s">
        <v>263</v>
      </c>
      <c r="B136" t="s">
        <v>91</v>
      </c>
      <c r="C136" t="s">
        <v>185</v>
      </c>
      <c r="D136" t="str">
        <f t="shared" si="8"/>
        <v>2025-11</v>
      </c>
      <c r="E136" t="s">
        <v>190</v>
      </c>
      <c r="F136">
        <v>230000</v>
      </c>
      <c r="H136" t="str">
        <f t="shared" si="10"/>
        <v/>
      </c>
      <c r="I136" s="10">
        <f t="shared" si="9"/>
        <v>45971</v>
      </c>
    </row>
    <row r="137" spans="1:9" x14ac:dyDescent="0.25">
      <c r="A137" t="s">
        <v>264</v>
      </c>
      <c r="B137" t="s">
        <v>91</v>
      </c>
      <c r="C137" t="s">
        <v>185</v>
      </c>
      <c r="D137" t="str">
        <f t="shared" si="8"/>
        <v>2025-12</v>
      </c>
      <c r="E137" t="s">
        <v>191</v>
      </c>
      <c r="F137">
        <v>230000</v>
      </c>
      <c r="H137" t="str">
        <f t="shared" si="10"/>
        <v/>
      </c>
      <c r="I137" s="10">
        <f t="shared" si="9"/>
        <v>46001</v>
      </c>
    </row>
    <row r="138" spans="1:9" x14ac:dyDescent="0.25">
      <c r="A138" t="s">
        <v>265</v>
      </c>
      <c r="B138" t="s">
        <v>91</v>
      </c>
      <c r="C138" t="s">
        <v>185</v>
      </c>
      <c r="D138" t="str">
        <f t="shared" si="8"/>
        <v>2026-01</v>
      </c>
      <c r="E138" t="s">
        <v>192</v>
      </c>
      <c r="F138">
        <v>230000</v>
      </c>
      <c r="H138" t="str">
        <f t="shared" si="10"/>
        <v/>
      </c>
      <c r="I138" s="10">
        <f t="shared" si="9"/>
        <v>46032</v>
      </c>
    </row>
    <row r="139" spans="1:9" x14ac:dyDescent="0.25">
      <c r="A139" t="s">
        <v>266</v>
      </c>
      <c r="B139" t="s">
        <v>91</v>
      </c>
      <c r="C139" t="s">
        <v>185</v>
      </c>
      <c r="D139" t="str">
        <f t="shared" si="8"/>
        <v>2026-02</v>
      </c>
      <c r="E139" t="s">
        <v>193</v>
      </c>
      <c r="F139">
        <v>230000</v>
      </c>
      <c r="H139" t="str">
        <f t="shared" si="10"/>
        <v/>
      </c>
      <c r="I139" s="10">
        <f t="shared" si="9"/>
        <v>46063</v>
      </c>
    </row>
    <row r="140" spans="1:9" x14ac:dyDescent="0.25">
      <c r="A140" t="s">
        <v>267</v>
      </c>
      <c r="B140" t="s">
        <v>91</v>
      </c>
      <c r="C140" t="s">
        <v>185</v>
      </c>
      <c r="D140" t="str">
        <f t="shared" si="8"/>
        <v>2026-03</v>
      </c>
      <c r="E140" t="s">
        <v>194</v>
      </c>
      <c r="F140">
        <v>230000</v>
      </c>
      <c r="H140" t="str">
        <f t="shared" si="10"/>
        <v/>
      </c>
      <c r="I140" s="10">
        <f t="shared" si="9"/>
        <v>46091</v>
      </c>
    </row>
    <row r="141" spans="1:9" x14ac:dyDescent="0.25">
      <c r="A141" t="s">
        <v>268</v>
      </c>
      <c r="B141" t="s">
        <v>91</v>
      </c>
      <c r="C141" t="s">
        <v>185</v>
      </c>
      <c r="D141" t="str">
        <f t="shared" si="8"/>
        <v>2026-04</v>
      </c>
      <c r="E141" t="s">
        <v>217</v>
      </c>
      <c r="F141">
        <v>230000</v>
      </c>
      <c r="H141" t="str">
        <f t="shared" si="10"/>
        <v/>
      </c>
      <c r="I141" s="10">
        <f t="shared" si="9"/>
        <v>46122</v>
      </c>
    </row>
    <row r="142" spans="1:9" x14ac:dyDescent="0.25">
      <c r="A142" t="s">
        <v>269</v>
      </c>
      <c r="B142" t="s">
        <v>95</v>
      </c>
      <c r="C142" t="s">
        <v>185</v>
      </c>
      <c r="D142" t="str">
        <f t="shared" si="8"/>
        <v>2025-07</v>
      </c>
      <c r="E142" t="s">
        <v>186</v>
      </c>
      <c r="F142">
        <v>220000</v>
      </c>
      <c r="G142" t="s">
        <v>1073</v>
      </c>
      <c r="H142">
        <f t="shared" si="10"/>
        <v>230000</v>
      </c>
      <c r="I142" s="10">
        <f t="shared" si="9"/>
        <v>45848</v>
      </c>
    </row>
    <row r="143" spans="1:9" x14ac:dyDescent="0.25">
      <c r="A143" t="s">
        <v>668</v>
      </c>
      <c r="B143" t="s">
        <v>95</v>
      </c>
      <c r="C143" t="s">
        <v>185</v>
      </c>
      <c r="D143" t="str">
        <f t="shared" si="8"/>
        <v>2025-08</v>
      </c>
      <c r="E143" t="s">
        <v>187</v>
      </c>
      <c r="F143">
        <v>220000</v>
      </c>
      <c r="H143" t="str">
        <f t="shared" si="10"/>
        <v/>
      </c>
      <c r="I143" s="10">
        <f t="shared" si="9"/>
        <v>45879</v>
      </c>
    </row>
    <row r="144" spans="1:9" x14ac:dyDescent="0.25">
      <c r="A144" t="s">
        <v>669</v>
      </c>
      <c r="B144" t="s">
        <v>95</v>
      </c>
      <c r="C144" t="s">
        <v>185</v>
      </c>
      <c r="D144" t="str">
        <f t="shared" si="8"/>
        <v>2025-09</v>
      </c>
      <c r="E144" t="s">
        <v>188</v>
      </c>
      <c r="F144">
        <v>220000</v>
      </c>
      <c r="H144" t="str">
        <f t="shared" si="10"/>
        <v/>
      </c>
      <c r="I144" s="10">
        <f t="shared" si="9"/>
        <v>45910</v>
      </c>
    </row>
    <row r="145" spans="1:9" x14ac:dyDescent="0.25">
      <c r="A145" t="s">
        <v>270</v>
      </c>
      <c r="B145" t="s">
        <v>95</v>
      </c>
      <c r="C145" t="s">
        <v>185</v>
      </c>
      <c r="D145" t="str">
        <f t="shared" si="8"/>
        <v>2025-10</v>
      </c>
      <c r="E145" t="s">
        <v>189</v>
      </c>
      <c r="F145">
        <v>220000</v>
      </c>
      <c r="H145" t="str">
        <f t="shared" si="10"/>
        <v/>
      </c>
      <c r="I145" s="10">
        <f t="shared" si="9"/>
        <v>45940</v>
      </c>
    </row>
    <row r="146" spans="1:9" x14ac:dyDescent="0.25">
      <c r="A146" t="s">
        <v>271</v>
      </c>
      <c r="B146" t="s">
        <v>95</v>
      </c>
      <c r="C146" t="s">
        <v>185</v>
      </c>
      <c r="D146" t="str">
        <f t="shared" si="8"/>
        <v>2025-11</v>
      </c>
      <c r="E146" t="s">
        <v>190</v>
      </c>
      <c r="F146">
        <v>220000</v>
      </c>
      <c r="H146" t="str">
        <f t="shared" si="10"/>
        <v/>
      </c>
      <c r="I146" s="10">
        <f t="shared" si="9"/>
        <v>45971</v>
      </c>
    </row>
    <row r="147" spans="1:9" x14ac:dyDescent="0.25">
      <c r="A147" t="s">
        <v>272</v>
      </c>
      <c r="B147" t="s">
        <v>95</v>
      </c>
      <c r="C147" t="s">
        <v>185</v>
      </c>
      <c r="D147" t="str">
        <f t="shared" si="8"/>
        <v>2025-12</v>
      </c>
      <c r="E147" t="s">
        <v>191</v>
      </c>
      <c r="F147">
        <v>220000</v>
      </c>
      <c r="H147" t="str">
        <f t="shared" si="10"/>
        <v/>
      </c>
      <c r="I147" s="10">
        <f t="shared" si="9"/>
        <v>46001</v>
      </c>
    </row>
    <row r="148" spans="1:9" x14ac:dyDescent="0.25">
      <c r="A148" t="s">
        <v>273</v>
      </c>
      <c r="B148" t="s">
        <v>95</v>
      </c>
      <c r="C148" t="s">
        <v>185</v>
      </c>
      <c r="D148" t="str">
        <f t="shared" si="8"/>
        <v>2026-01</v>
      </c>
      <c r="E148" t="s">
        <v>192</v>
      </c>
      <c r="F148">
        <v>220000</v>
      </c>
      <c r="H148" t="str">
        <f t="shared" si="10"/>
        <v/>
      </c>
      <c r="I148" s="10">
        <f t="shared" si="9"/>
        <v>46032</v>
      </c>
    </row>
    <row r="149" spans="1:9" x14ac:dyDescent="0.25">
      <c r="A149" t="s">
        <v>274</v>
      </c>
      <c r="B149" t="s">
        <v>95</v>
      </c>
      <c r="C149" t="s">
        <v>185</v>
      </c>
      <c r="D149" t="str">
        <f t="shared" si="8"/>
        <v>2026-02</v>
      </c>
      <c r="E149" t="s">
        <v>193</v>
      </c>
      <c r="F149">
        <v>220000</v>
      </c>
      <c r="H149" t="str">
        <f t="shared" si="10"/>
        <v/>
      </c>
      <c r="I149" s="10">
        <f t="shared" si="9"/>
        <v>46063</v>
      </c>
    </row>
    <row r="150" spans="1:9" x14ac:dyDescent="0.25">
      <c r="A150" t="s">
        <v>275</v>
      </c>
      <c r="B150" t="s">
        <v>95</v>
      </c>
      <c r="C150" t="s">
        <v>185</v>
      </c>
      <c r="D150" t="str">
        <f t="shared" si="8"/>
        <v>2026-03</v>
      </c>
      <c r="E150" t="s">
        <v>194</v>
      </c>
      <c r="F150">
        <v>220000</v>
      </c>
      <c r="H150" t="str">
        <f t="shared" si="10"/>
        <v/>
      </c>
      <c r="I150" s="10">
        <f t="shared" si="9"/>
        <v>46091</v>
      </c>
    </row>
    <row r="151" spans="1:9" x14ac:dyDescent="0.25">
      <c r="A151" t="s">
        <v>276</v>
      </c>
      <c r="B151" t="s">
        <v>95</v>
      </c>
      <c r="C151" t="s">
        <v>185</v>
      </c>
      <c r="D151" t="str">
        <f t="shared" si="8"/>
        <v>2026-04</v>
      </c>
      <c r="E151" t="s">
        <v>217</v>
      </c>
      <c r="F151">
        <v>220000</v>
      </c>
      <c r="H151" t="str">
        <f t="shared" si="10"/>
        <v/>
      </c>
      <c r="I151" s="10">
        <f t="shared" si="9"/>
        <v>46122</v>
      </c>
    </row>
    <row r="152" spans="1:9" x14ac:dyDescent="0.25">
      <c r="A152" t="s">
        <v>670</v>
      </c>
      <c r="B152" t="s">
        <v>95</v>
      </c>
      <c r="C152" t="s">
        <v>185</v>
      </c>
      <c r="D152" t="str">
        <f t="shared" si="8"/>
        <v>2026-05</v>
      </c>
      <c r="E152" t="s">
        <v>218</v>
      </c>
      <c r="F152">
        <v>220000</v>
      </c>
      <c r="H152" t="str">
        <f t="shared" si="10"/>
        <v/>
      </c>
      <c r="I152" s="10">
        <f t="shared" si="9"/>
        <v>46152</v>
      </c>
    </row>
    <row r="153" spans="1:9" x14ac:dyDescent="0.25">
      <c r="A153" t="s">
        <v>671</v>
      </c>
      <c r="B153" t="s">
        <v>95</v>
      </c>
      <c r="C153" t="s">
        <v>185</v>
      </c>
      <c r="D153" t="str">
        <f t="shared" si="8"/>
        <v>2026-06</v>
      </c>
      <c r="E153" t="s">
        <v>219</v>
      </c>
      <c r="F153">
        <v>220000</v>
      </c>
      <c r="H153" t="str">
        <f t="shared" si="10"/>
        <v/>
      </c>
      <c r="I153" s="10">
        <f t="shared" si="9"/>
        <v>46183</v>
      </c>
    </row>
    <row r="154" spans="1:9" x14ac:dyDescent="0.25">
      <c r="A154" t="s">
        <v>672</v>
      </c>
      <c r="B154" t="s">
        <v>99</v>
      </c>
      <c r="C154" t="s">
        <v>185</v>
      </c>
      <c r="D154" t="str">
        <f t="shared" si="8"/>
        <v>2025-07</v>
      </c>
      <c r="E154" t="s">
        <v>186</v>
      </c>
      <c r="F154">
        <v>230000</v>
      </c>
      <c r="G154" t="s">
        <v>1073</v>
      </c>
      <c r="H154">
        <f t="shared" si="10"/>
        <v>230000</v>
      </c>
      <c r="I154" s="10">
        <f t="shared" si="9"/>
        <v>45848</v>
      </c>
    </row>
    <row r="155" spans="1:9" x14ac:dyDescent="0.25">
      <c r="A155" t="s">
        <v>673</v>
      </c>
      <c r="B155" t="s">
        <v>99</v>
      </c>
      <c r="C155" t="s">
        <v>185</v>
      </c>
      <c r="D155" t="str">
        <f t="shared" si="8"/>
        <v>2025-08</v>
      </c>
      <c r="E155" t="s">
        <v>187</v>
      </c>
      <c r="F155">
        <v>230000</v>
      </c>
      <c r="H155" t="str">
        <f t="shared" si="10"/>
        <v/>
      </c>
      <c r="I155" s="10">
        <f t="shared" si="9"/>
        <v>45879</v>
      </c>
    </row>
    <row r="156" spans="1:9" x14ac:dyDescent="0.25">
      <c r="A156" t="s">
        <v>674</v>
      </c>
      <c r="B156" t="s">
        <v>99</v>
      </c>
      <c r="C156" t="s">
        <v>185</v>
      </c>
      <c r="D156" t="str">
        <f t="shared" si="8"/>
        <v>2025-09</v>
      </c>
      <c r="E156" t="s">
        <v>188</v>
      </c>
      <c r="F156">
        <v>230000</v>
      </c>
      <c r="H156" t="str">
        <f t="shared" si="10"/>
        <v/>
      </c>
      <c r="I156" s="10">
        <f t="shared" si="9"/>
        <v>45910</v>
      </c>
    </row>
    <row r="157" spans="1:9" x14ac:dyDescent="0.25">
      <c r="A157" t="s">
        <v>675</v>
      </c>
      <c r="B157" t="s">
        <v>99</v>
      </c>
      <c r="C157" t="s">
        <v>185</v>
      </c>
      <c r="D157" t="str">
        <f t="shared" si="8"/>
        <v>2025-10</v>
      </c>
      <c r="E157" t="s">
        <v>189</v>
      </c>
      <c r="F157">
        <v>230000</v>
      </c>
      <c r="H157" t="str">
        <f t="shared" si="10"/>
        <v/>
      </c>
      <c r="I157" s="10">
        <f t="shared" si="9"/>
        <v>45940</v>
      </c>
    </row>
    <row r="158" spans="1:9" x14ac:dyDescent="0.25">
      <c r="A158" t="s">
        <v>676</v>
      </c>
      <c r="B158" t="s">
        <v>99</v>
      </c>
      <c r="C158" t="s">
        <v>185</v>
      </c>
      <c r="D158" t="str">
        <f t="shared" si="8"/>
        <v>2025-11</v>
      </c>
      <c r="E158" t="s">
        <v>190</v>
      </c>
      <c r="F158">
        <v>230000</v>
      </c>
      <c r="H158" t="str">
        <f t="shared" si="10"/>
        <v/>
      </c>
      <c r="I158" s="10">
        <f t="shared" si="9"/>
        <v>45971</v>
      </c>
    </row>
    <row r="159" spans="1:9" x14ac:dyDescent="0.25">
      <c r="A159" t="s">
        <v>677</v>
      </c>
      <c r="B159" t="s">
        <v>99</v>
      </c>
      <c r="C159" t="s">
        <v>185</v>
      </c>
      <c r="D159" t="str">
        <f t="shared" si="8"/>
        <v>2025-12</v>
      </c>
      <c r="E159" t="s">
        <v>191</v>
      </c>
      <c r="F159">
        <v>230000</v>
      </c>
      <c r="H159" t="str">
        <f t="shared" si="10"/>
        <v/>
      </c>
      <c r="I159" s="10">
        <f t="shared" si="9"/>
        <v>46001</v>
      </c>
    </row>
    <row r="160" spans="1:9" x14ac:dyDescent="0.25">
      <c r="A160" t="s">
        <v>678</v>
      </c>
      <c r="B160" t="s">
        <v>99</v>
      </c>
      <c r="C160" t="s">
        <v>185</v>
      </c>
      <c r="D160" t="str">
        <f t="shared" si="8"/>
        <v>2026-01</v>
      </c>
      <c r="E160" t="s">
        <v>192</v>
      </c>
      <c r="F160">
        <v>230000</v>
      </c>
      <c r="H160" t="str">
        <f t="shared" si="10"/>
        <v/>
      </c>
      <c r="I160" s="10">
        <f t="shared" si="9"/>
        <v>46032</v>
      </c>
    </row>
    <row r="161" spans="1:9" x14ac:dyDescent="0.25">
      <c r="A161" t="s">
        <v>679</v>
      </c>
      <c r="B161" t="s">
        <v>99</v>
      </c>
      <c r="C161" t="s">
        <v>185</v>
      </c>
      <c r="D161" t="str">
        <f t="shared" si="8"/>
        <v>2026-02</v>
      </c>
      <c r="E161" t="s">
        <v>193</v>
      </c>
      <c r="F161">
        <v>230000</v>
      </c>
      <c r="H161" t="str">
        <f t="shared" si="10"/>
        <v/>
      </c>
      <c r="I161" s="10">
        <f t="shared" si="9"/>
        <v>46063</v>
      </c>
    </row>
    <row r="162" spans="1:9" x14ac:dyDescent="0.25">
      <c r="A162" t="s">
        <v>680</v>
      </c>
      <c r="B162" t="s">
        <v>99</v>
      </c>
      <c r="C162" t="s">
        <v>185</v>
      </c>
      <c r="D162" t="str">
        <f t="shared" si="8"/>
        <v>2026-03</v>
      </c>
      <c r="E162" t="s">
        <v>194</v>
      </c>
      <c r="F162">
        <v>230000</v>
      </c>
      <c r="H162" t="str">
        <f t="shared" si="10"/>
        <v/>
      </c>
      <c r="I162" s="10">
        <f t="shared" si="9"/>
        <v>46091</v>
      </c>
    </row>
    <row r="163" spans="1:9" x14ac:dyDescent="0.25">
      <c r="A163" t="s">
        <v>681</v>
      </c>
      <c r="B163" t="s">
        <v>99</v>
      </c>
      <c r="C163" t="s">
        <v>185</v>
      </c>
      <c r="D163" t="str">
        <f t="shared" si="8"/>
        <v>2026-04</v>
      </c>
      <c r="E163" t="s">
        <v>217</v>
      </c>
      <c r="F163">
        <v>230000</v>
      </c>
      <c r="H163" t="str">
        <f t="shared" si="10"/>
        <v/>
      </c>
      <c r="I163" s="10">
        <f t="shared" si="9"/>
        <v>46122</v>
      </c>
    </row>
    <row r="164" spans="1:9" x14ac:dyDescent="0.25">
      <c r="A164" t="s">
        <v>682</v>
      </c>
      <c r="B164" t="s">
        <v>99</v>
      </c>
      <c r="C164" t="s">
        <v>185</v>
      </c>
      <c r="D164" t="str">
        <f t="shared" si="8"/>
        <v>2026-05</v>
      </c>
      <c r="E164" t="s">
        <v>218</v>
      </c>
      <c r="F164">
        <v>230000</v>
      </c>
      <c r="H164" t="str">
        <f t="shared" si="10"/>
        <v/>
      </c>
      <c r="I164" s="10">
        <f t="shared" si="9"/>
        <v>46152</v>
      </c>
    </row>
    <row r="165" spans="1:9" x14ac:dyDescent="0.25">
      <c r="A165" t="s">
        <v>683</v>
      </c>
      <c r="B165" t="s">
        <v>103</v>
      </c>
      <c r="C165" t="s">
        <v>185</v>
      </c>
      <c r="D165" t="str">
        <f t="shared" si="8"/>
        <v>2025-07</v>
      </c>
      <c r="E165" t="s">
        <v>186</v>
      </c>
      <c r="F165">
        <v>230000</v>
      </c>
      <c r="G165" t="s">
        <v>1073</v>
      </c>
      <c r="H165">
        <f t="shared" si="10"/>
        <v>230000</v>
      </c>
      <c r="I165" s="10">
        <f t="shared" si="9"/>
        <v>45848</v>
      </c>
    </row>
    <row r="166" spans="1:9" x14ac:dyDescent="0.25">
      <c r="A166" t="s">
        <v>684</v>
      </c>
      <c r="B166" t="s">
        <v>103</v>
      </c>
      <c r="C166" t="s">
        <v>185</v>
      </c>
      <c r="D166" t="str">
        <f t="shared" si="8"/>
        <v>2025-08</v>
      </c>
      <c r="E166" t="s">
        <v>187</v>
      </c>
      <c r="F166">
        <v>230000</v>
      </c>
      <c r="H166" t="str">
        <f t="shared" si="10"/>
        <v/>
      </c>
      <c r="I166" s="10">
        <f t="shared" si="9"/>
        <v>45879</v>
      </c>
    </row>
    <row r="167" spans="1:9" x14ac:dyDescent="0.25">
      <c r="A167" t="s">
        <v>685</v>
      </c>
      <c r="B167" t="s">
        <v>103</v>
      </c>
      <c r="C167" t="s">
        <v>185</v>
      </c>
      <c r="D167" t="str">
        <f t="shared" si="8"/>
        <v>2025-09</v>
      </c>
      <c r="E167" t="s">
        <v>188</v>
      </c>
      <c r="F167">
        <v>230000</v>
      </c>
      <c r="H167" t="str">
        <f t="shared" si="10"/>
        <v/>
      </c>
      <c r="I167" s="10">
        <f t="shared" si="9"/>
        <v>45910</v>
      </c>
    </row>
    <row r="168" spans="1:9" x14ac:dyDescent="0.25">
      <c r="A168" t="s">
        <v>686</v>
      </c>
      <c r="B168" t="s">
        <v>103</v>
      </c>
      <c r="C168" t="s">
        <v>185</v>
      </c>
      <c r="D168" t="str">
        <f t="shared" si="8"/>
        <v>2025-10</v>
      </c>
      <c r="E168" t="s">
        <v>189</v>
      </c>
      <c r="F168">
        <v>230000</v>
      </c>
      <c r="H168" t="str">
        <f t="shared" si="10"/>
        <v/>
      </c>
      <c r="I168" s="10">
        <f t="shared" si="9"/>
        <v>45940</v>
      </c>
    </row>
    <row r="169" spans="1:9" x14ac:dyDescent="0.25">
      <c r="A169" t="s">
        <v>687</v>
      </c>
      <c r="B169" t="s">
        <v>103</v>
      </c>
      <c r="C169" t="s">
        <v>185</v>
      </c>
      <c r="D169" t="str">
        <f t="shared" si="8"/>
        <v>2025-11</v>
      </c>
      <c r="E169" t="s">
        <v>190</v>
      </c>
      <c r="F169">
        <v>230000</v>
      </c>
      <c r="H169" t="str">
        <f t="shared" si="10"/>
        <v/>
      </c>
      <c r="I169" s="10">
        <f t="shared" si="9"/>
        <v>45971</v>
      </c>
    </row>
    <row r="170" spans="1:9" x14ac:dyDescent="0.25">
      <c r="A170" t="s">
        <v>688</v>
      </c>
      <c r="B170" t="s">
        <v>103</v>
      </c>
      <c r="C170" t="s">
        <v>185</v>
      </c>
      <c r="D170" t="str">
        <f t="shared" si="8"/>
        <v>2025-12</v>
      </c>
      <c r="E170" t="s">
        <v>191</v>
      </c>
      <c r="F170">
        <v>230000</v>
      </c>
      <c r="H170" t="str">
        <f t="shared" si="10"/>
        <v/>
      </c>
      <c r="I170" s="10">
        <f t="shared" si="9"/>
        <v>46001</v>
      </c>
    </row>
    <row r="171" spans="1:9" x14ac:dyDescent="0.25">
      <c r="A171" t="s">
        <v>689</v>
      </c>
      <c r="B171" t="s">
        <v>103</v>
      </c>
      <c r="C171" t="s">
        <v>185</v>
      </c>
      <c r="D171" t="str">
        <f t="shared" si="8"/>
        <v>2026-01</v>
      </c>
      <c r="E171" t="s">
        <v>192</v>
      </c>
      <c r="F171">
        <v>230000</v>
      </c>
      <c r="H171" t="str">
        <f t="shared" si="10"/>
        <v/>
      </c>
      <c r="I171" s="10">
        <f t="shared" si="9"/>
        <v>46032</v>
      </c>
    </row>
    <row r="172" spans="1:9" x14ac:dyDescent="0.25">
      <c r="A172" t="s">
        <v>690</v>
      </c>
      <c r="B172" t="s">
        <v>103</v>
      </c>
      <c r="C172" t="s">
        <v>185</v>
      </c>
      <c r="D172" t="str">
        <f t="shared" si="8"/>
        <v>2026-02</v>
      </c>
      <c r="E172" t="s">
        <v>193</v>
      </c>
      <c r="F172">
        <v>230000</v>
      </c>
      <c r="H172" t="str">
        <f t="shared" si="10"/>
        <v/>
      </c>
      <c r="I172" s="10">
        <f t="shared" si="9"/>
        <v>46063</v>
      </c>
    </row>
    <row r="173" spans="1:9" x14ac:dyDescent="0.25">
      <c r="A173" t="s">
        <v>691</v>
      </c>
      <c r="B173" t="s">
        <v>103</v>
      </c>
      <c r="C173" t="s">
        <v>185</v>
      </c>
      <c r="D173" t="str">
        <f t="shared" si="8"/>
        <v>2026-03</v>
      </c>
      <c r="E173" t="s">
        <v>194</v>
      </c>
      <c r="F173">
        <v>230000</v>
      </c>
      <c r="H173" t="str">
        <f t="shared" si="10"/>
        <v/>
      </c>
      <c r="I173" s="10">
        <f t="shared" si="9"/>
        <v>46091</v>
      </c>
    </row>
    <row r="174" spans="1:9" x14ac:dyDescent="0.25">
      <c r="A174" t="s">
        <v>692</v>
      </c>
      <c r="B174" t="s">
        <v>103</v>
      </c>
      <c r="C174" t="s">
        <v>185</v>
      </c>
      <c r="D174" t="str">
        <f t="shared" si="8"/>
        <v>2026-04</v>
      </c>
      <c r="E174" t="s">
        <v>217</v>
      </c>
      <c r="F174">
        <v>230000</v>
      </c>
      <c r="H174" t="str">
        <f t="shared" si="10"/>
        <v/>
      </c>
      <c r="I174" s="10">
        <f t="shared" si="9"/>
        <v>46122</v>
      </c>
    </row>
    <row r="175" spans="1:9" x14ac:dyDescent="0.25">
      <c r="A175" t="s">
        <v>693</v>
      </c>
      <c r="B175" t="s">
        <v>103</v>
      </c>
      <c r="C175" t="s">
        <v>185</v>
      </c>
      <c r="D175" t="str">
        <f t="shared" si="8"/>
        <v>2026-05</v>
      </c>
      <c r="E175" t="s">
        <v>218</v>
      </c>
      <c r="F175">
        <v>230000</v>
      </c>
      <c r="H175" t="str">
        <f t="shared" si="10"/>
        <v/>
      </c>
      <c r="I175" s="10">
        <f t="shared" si="9"/>
        <v>46152</v>
      </c>
    </row>
    <row r="176" spans="1:9" x14ac:dyDescent="0.25">
      <c r="A176" t="s">
        <v>694</v>
      </c>
      <c r="B176" t="s">
        <v>105</v>
      </c>
      <c r="C176" t="s">
        <v>185</v>
      </c>
      <c r="D176" t="str">
        <f t="shared" si="8"/>
        <v>2025-07</v>
      </c>
      <c r="E176" t="s">
        <v>186</v>
      </c>
      <c r="F176">
        <v>230000</v>
      </c>
      <c r="G176" t="s">
        <v>1073</v>
      </c>
      <c r="H176">
        <f t="shared" si="10"/>
        <v>230000</v>
      </c>
      <c r="I176" s="10">
        <f t="shared" si="9"/>
        <v>45848</v>
      </c>
    </row>
    <row r="177" spans="1:9" x14ac:dyDescent="0.25">
      <c r="A177" t="s">
        <v>695</v>
      </c>
      <c r="B177" t="s">
        <v>105</v>
      </c>
      <c r="C177" t="s">
        <v>185</v>
      </c>
      <c r="D177" t="str">
        <f t="shared" si="8"/>
        <v>2025-08</v>
      </c>
      <c r="E177" t="s">
        <v>187</v>
      </c>
      <c r="F177">
        <v>230000</v>
      </c>
      <c r="H177" t="str">
        <f t="shared" si="10"/>
        <v/>
      </c>
      <c r="I177" s="10">
        <f t="shared" si="9"/>
        <v>45879</v>
      </c>
    </row>
    <row r="178" spans="1:9" x14ac:dyDescent="0.25">
      <c r="A178" t="s">
        <v>696</v>
      </c>
      <c r="B178" t="s">
        <v>105</v>
      </c>
      <c r="C178" t="s">
        <v>185</v>
      </c>
      <c r="D178" t="str">
        <f t="shared" si="8"/>
        <v>2025-09</v>
      </c>
      <c r="E178" t="s">
        <v>188</v>
      </c>
      <c r="F178">
        <v>230000</v>
      </c>
      <c r="H178" t="str">
        <f t="shared" si="10"/>
        <v/>
      </c>
      <c r="I178" s="10">
        <f t="shared" si="9"/>
        <v>45910</v>
      </c>
    </row>
    <row r="179" spans="1:9" x14ac:dyDescent="0.25">
      <c r="A179" t="s">
        <v>697</v>
      </c>
      <c r="B179" t="s">
        <v>105</v>
      </c>
      <c r="C179" t="s">
        <v>185</v>
      </c>
      <c r="D179" t="str">
        <f t="shared" si="8"/>
        <v>2025-10</v>
      </c>
      <c r="E179" t="s">
        <v>189</v>
      </c>
      <c r="F179">
        <v>230000</v>
      </c>
      <c r="H179" t="str">
        <f t="shared" si="10"/>
        <v/>
      </c>
      <c r="I179" s="10">
        <f t="shared" si="9"/>
        <v>45940</v>
      </c>
    </row>
    <row r="180" spans="1:9" x14ac:dyDescent="0.25">
      <c r="A180" t="s">
        <v>698</v>
      </c>
      <c r="B180" t="s">
        <v>105</v>
      </c>
      <c r="C180" t="s">
        <v>185</v>
      </c>
      <c r="D180" t="str">
        <f t="shared" si="8"/>
        <v>2025-11</v>
      </c>
      <c r="E180" t="s">
        <v>190</v>
      </c>
      <c r="F180">
        <v>230000</v>
      </c>
      <c r="H180" t="str">
        <f t="shared" si="10"/>
        <v/>
      </c>
      <c r="I180" s="10">
        <f t="shared" si="9"/>
        <v>45971</v>
      </c>
    </row>
    <row r="181" spans="1:9" x14ac:dyDescent="0.25">
      <c r="A181" t="s">
        <v>699</v>
      </c>
      <c r="B181" t="s">
        <v>105</v>
      </c>
      <c r="C181" t="s">
        <v>185</v>
      </c>
      <c r="D181" t="str">
        <f t="shared" si="8"/>
        <v>2025-12</v>
      </c>
      <c r="E181" t="s">
        <v>191</v>
      </c>
      <c r="F181">
        <v>230000</v>
      </c>
      <c r="H181" t="str">
        <f t="shared" si="10"/>
        <v/>
      </c>
      <c r="I181" s="10">
        <f t="shared" si="9"/>
        <v>46001</v>
      </c>
    </row>
    <row r="182" spans="1:9" x14ac:dyDescent="0.25">
      <c r="A182" t="s">
        <v>700</v>
      </c>
      <c r="B182" t="s">
        <v>105</v>
      </c>
      <c r="C182" t="s">
        <v>185</v>
      </c>
      <c r="D182" t="str">
        <f t="shared" si="8"/>
        <v>2026-01</v>
      </c>
      <c r="E182" t="s">
        <v>192</v>
      </c>
      <c r="F182">
        <v>230000</v>
      </c>
      <c r="H182" t="str">
        <f t="shared" si="10"/>
        <v/>
      </c>
      <c r="I182" s="10">
        <f t="shared" si="9"/>
        <v>46032</v>
      </c>
    </row>
    <row r="183" spans="1:9" x14ac:dyDescent="0.25">
      <c r="A183" t="s">
        <v>701</v>
      </c>
      <c r="B183" t="s">
        <v>105</v>
      </c>
      <c r="C183" t="s">
        <v>185</v>
      </c>
      <c r="D183" t="str">
        <f t="shared" si="8"/>
        <v>2026-02</v>
      </c>
      <c r="E183" t="s">
        <v>193</v>
      </c>
      <c r="F183">
        <v>230000</v>
      </c>
      <c r="H183" t="str">
        <f t="shared" si="10"/>
        <v/>
      </c>
      <c r="I183" s="10">
        <f t="shared" si="9"/>
        <v>46063</v>
      </c>
    </row>
    <row r="184" spans="1:9" x14ac:dyDescent="0.25">
      <c r="A184" t="s">
        <v>702</v>
      </c>
      <c r="B184" t="s">
        <v>105</v>
      </c>
      <c r="C184" t="s">
        <v>185</v>
      </c>
      <c r="D184" t="str">
        <f t="shared" si="8"/>
        <v>2026-03</v>
      </c>
      <c r="E184" t="s">
        <v>194</v>
      </c>
      <c r="F184">
        <v>230000</v>
      </c>
      <c r="H184" t="str">
        <f t="shared" si="10"/>
        <v/>
      </c>
      <c r="I184" s="10">
        <f t="shared" si="9"/>
        <v>46091</v>
      </c>
    </row>
    <row r="185" spans="1:9" x14ac:dyDescent="0.25">
      <c r="A185" t="s">
        <v>703</v>
      </c>
      <c r="B185" t="s">
        <v>105</v>
      </c>
      <c r="C185" t="s">
        <v>185</v>
      </c>
      <c r="D185" t="str">
        <f t="shared" si="8"/>
        <v>2026-04</v>
      </c>
      <c r="E185" t="s">
        <v>217</v>
      </c>
      <c r="F185">
        <v>230000</v>
      </c>
      <c r="H185" t="str">
        <f t="shared" si="10"/>
        <v/>
      </c>
      <c r="I185" s="10">
        <f t="shared" si="9"/>
        <v>46122</v>
      </c>
    </row>
    <row r="186" spans="1:9" x14ac:dyDescent="0.25">
      <c r="A186" t="s">
        <v>704</v>
      </c>
      <c r="B186" t="s">
        <v>109</v>
      </c>
      <c r="C186" t="s">
        <v>185</v>
      </c>
      <c r="D186" t="str">
        <f t="shared" si="8"/>
        <v>2025-07</v>
      </c>
      <c r="E186" t="s">
        <v>186</v>
      </c>
      <c r="F186">
        <v>200000</v>
      </c>
      <c r="G186" t="s">
        <v>1073</v>
      </c>
      <c r="H186">
        <f t="shared" si="10"/>
        <v>230000</v>
      </c>
      <c r="I186" s="10">
        <f t="shared" si="9"/>
        <v>45848</v>
      </c>
    </row>
    <row r="187" spans="1:9" x14ac:dyDescent="0.25">
      <c r="A187" t="s">
        <v>705</v>
      </c>
      <c r="B187" t="s">
        <v>109</v>
      </c>
      <c r="C187" t="s">
        <v>185</v>
      </c>
      <c r="D187" t="str">
        <f t="shared" si="8"/>
        <v>2025-08</v>
      </c>
      <c r="E187" t="s">
        <v>187</v>
      </c>
      <c r="F187">
        <v>200000</v>
      </c>
      <c r="H187" t="str">
        <f t="shared" si="10"/>
        <v/>
      </c>
      <c r="I187" s="10">
        <f t="shared" si="9"/>
        <v>45879</v>
      </c>
    </row>
    <row r="188" spans="1:9" x14ac:dyDescent="0.25">
      <c r="A188" t="s">
        <v>706</v>
      </c>
      <c r="B188" t="s">
        <v>109</v>
      </c>
      <c r="C188" t="s">
        <v>185</v>
      </c>
      <c r="D188" t="str">
        <f t="shared" si="8"/>
        <v>2025-09</v>
      </c>
      <c r="E188" t="s">
        <v>188</v>
      </c>
      <c r="F188">
        <v>200000</v>
      </c>
      <c r="H188" t="str">
        <f t="shared" si="10"/>
        <v/>
      </c>
      <c r="I188" s="10">
        <f t="shared" si="9"/>
        <v>45910</v>
      </c>
    </row>
    <row r="189" spans="1:9" x14ac:dyDescent="0.25">
      <c r="A189" t="s">
        <v>707</v>
      </c>
      <c r="B189" t="s">
        <v>109</v>
      </c>
      <c r="C189" t="s">
        <v>185</v>
      </c>
      <c r="D189" t="str">
        <f t="shared" ref="D189:D252" si="11">IF(ISNUMBER(SEARCH("Juli",E189)),"2025-07",
IF(ISNUMBER(SEARCH("Agustus",E189)),"2025-08",
IF(ISNUMBER(SEARCH("September",E189)),"2025-09",
IF(ISNUMBER(SEARCH("Oktober",E189)),"2025-10",
IF(ISNUMBER(SEARCH("November",E189)),"2025-11",
IF(ISNUMBER(SEARCH("Desember",E189)),"2025-12",
IF(ISNUMBER(SEARCH("Januari",E189)),"2026-01",
IF(ISNUMBER(SEARCH("Februari",E189)),"2026-02",
IF(ISNUMBER(SEARCH("Maret",E189)),"2026-03",
IF(ISNUMBER(SEARCH("April",E189)),"2026-04",
IF(ISNUMBER(SEARCH("Mei",E189)),"2026-05",
IF(ISNUMBER(SEARCH("Juni",E189)),"2026-06",""))))))))))))</f>
        <v>2025-10</v>
      </c>
      <c r="E189" t="s">
        <v>189</v>
      </c>
      <c r="F189">
        <v>200000</v>
      </c>
      <c r="H189" t="str">
        <f t="shared" si="10"/>
        <v/>
      </c>
      <c r="I189" s="10">
        <f t="shared" ref="I189:I252" si="12">DATE(LEFT(D189,4),RIGHT(D189,2),10)</f>
        <v>45940</v>
      </c>
    </row>
    <row r="190" spans="1:9" x14ac:dyDescent="0.25">
      <c r="A190" t="s">
        <v>708</v>
      </c>
      <c r="B190" t="s">
        <v>109</v>
      </c>
      <c r="C190" t="s">
        <v>185</v>
      </c>
      <c r="D190" t="str">
        <f t="shared" si="11"/>
        <v>2025-11</v>
      </c>
      <c r="E190" t="s">
        <v>190</v>
      </c>
      <c r="F190">
        <v>200000</v>
      </c>
      <c r="H190" t="str">
        <f t="shared" si="10"/>
        <v/>
      </c>
      <c r="I190" s="10">
        <f t="shared" si="12"/>
        <v>45971</v>
      </c>
    </row>
    <row r="191" spans="1:9" x14ac:dyDescent="0.25">
      <c r="A191" t="s">
        <v>709</v>
      </c>
      <c r="B191" t="s">
        <v>109</v>
      </c>
      <c r="C191" t="s">
        <v>185</v>
      </c>
      <c r="D191" t="str">
        <f t="shared" si="11"/>
        <v>2025-12</v>
      </c>
      <c r="E191" t="s">
        <v>191</v>
      </c>
      <c r="F191">
        <v>200000</v>
      </c>
      <c r="H191" t="str">
        <f t="shared" si="10"/>
        <v/>
      </c>
      <c r="I191" s="10">
        <f t="shared" si="12"/>
        <v>46001</v>
      </c>
    </row>
    <row r="192" spans="1:9" x14ac:dyDescent="0.25">
      <c r="A192" t="s">
        <v>710</v>
      </c>
      <c r="B192" t="s">
        <v>109</v>
      </c>
      <c r="C192" t="s">
        <v>185</v>
      </c>
      <c r="D192" t="str">
        <f t="shared" si="11"/>
        <v>2026-01</v>
      </c>
      <c r="E192" t="s">
        <v>192</v>
      </c>
      <c r="F192">
        <v>200000</v>
      </c>
      <c r="H192" t="str">
        <f t="shared" si="10"/>
        <v/>
      </c>
      <c r="I192" s="10">
        <f t="shared" si="12"/>
        <v>46032</v>
      </c>
    </row>
    <row r="193" spans="1:9" x14ac:dyDescent="0.25">
      <c r="A193" t="s">
        <v>711</v>
      </c>
      <c r="B193" t="s">
        <v>109</v>
      </c>
      <c r="C193" t="s">
        <v>185</v>
      </c>
      <c r="D193" t="str">
        <f t="shared" si="11"/>
        <v>2026-02</v>
      </c>
      <c r="E193" t="s">
        <v>193</v>
      </c>
      <c r="F193">
        <v>200000</v>
      </c>
      <c r="H193" t="str">
        <f t="shared" si="10"/>
        <v/>
      </c>
      <c r="I193" s="10">
        <f t="shared" si="12"/>
        <v>46063</v>
      </c>
    </row>
    <row r="194" spans="1:9" x14ac:dyDescent="0.25">
      <c r="A194" t="s">
        <v>712</v>
      </c>
      <c r="B194" t="s">
        <v>109</v>
      </c>
      <c r="C194" t="s">
        <v>185</v>
      </c>
      <c r="D194" t="str">
        <f t="shared" si="11"/>
        <v>2026-03</v>
      </c>
      <c r="E194" t="s">
        <v>194</v>
      </c>
      <c r="F194">
        <v>200000</v>
      </c>
      <c r="H194" t="str">
        <f t="shared" si="10"/>
        <v/>
      </c>
      <c r="I194" s="10">
        <f t="shared" si="12"/>
        <v>46091</v>
      </c>
    </row>
    <row r="195" spans="1:9" x14ac:dyDescent="0.25">
      <c r="A195" t="s">
        <v>713</v>
      </c>
      <c r="B195" t="s">
        <v>109</v>
      </c>
      <c r="C195" t="s">
        <v>185</v>
      </c>
      <c r="D195" t="str">
        <f t="shared" si="11"/>
        <v>2026-04</v>
      </c>
      <c r="E195" t="s">
        <v>217</v>
      </c>
      <c r="F195">
        <v>200000</v>
      </c>
      <c r="H195" t="str">
        <f t="shared" si="10"/>
        <v/>
      </c>
      <c r="I195" s="10">
        <f t="shared" si="12"/>
        <v>46122</v>
      </c>
    </row>
    <row r="196" spans="1:9" x14ac:dyDescent="0.25">
      <c r="A196" t="s">
        <v>714</v>
      </c>
      <c r="B196" t="s">
        <v>113</v>
      </c>
      <c r="C196" t="s">
        <v>185</v>
      </c>
      <c r="D196" t="str">
        <f t="shared" si="11"/>
        <v>2025-07</v>
      </c>
      <c r="E196" t="s">
        <v>186</v>
      </c>
      <c r="F196">
        <v>230000</v>
      </c>
      <c r="G196" t="s">
        <v>1073</v>
      </c>
      <c r="H196">
        <f t="shared" ref="H196:H259" si="13">IF(ISNUMBER(SEARCH("Juli",E196)),230000,"")</f>
        <v>230000</v>
      </c>
      <c r="I196" s="10">
        <f t="shared" si="12"/>
        <v>45848</v>
      </c>
    </row>
    <row r="197" spans="1:9" x14ac:dyDescent="0.25">
      <c r="A197" t="s">
        <v>715</v>
      </c>
      <c r="B197" t="s">
        <v>113</v>
      </c>
      <c r="C197" t="s">
        <v>185</v>
      </c>
      <c r="D197" t="str">
        <f t="shared" si="11"/>
        <v>2025-08</v>
      </c>
      <c r="E197" t="s">
        <v>187</v>
      </c>
      <c r="F197">
        <v>230000</v>
      </c>
      <c r="H197" t="str">
        <f t="shared" si="13"/>
        <v/>
      </c>
      <c r="I197" s="10">
        <f t="shared" si="12"/>
        <v>45879</v>
      </c>
    </row>
    <row r="198" spans="1:9" x14ac:dyDescent="0.25">
      <c r="A198" t="s">
        <v>716</v>
      </c>
      <c r="B198" t="s">
        <v>113</v>
      </c>
      <c r="C198" t="s">
        <v>185</v>
      </c>
      <c r="D198" t="str">
        <f t="shared" si="11"/>
        <v>2025-09</v>
      </c>
      <c r="E198" t="s">
        <v>188</v>
      </c>
      <c r="F198">
        <v>230000</v>
      </c>
      <c r="H198" t="str">
        <f t="shared" si="13"/>
        <v/>
      </c>
      <c r="I198" s="10">
        <f t="shared" si="12"/>
        <v>45910</v>
      </c>
    </row>
    <row r="199" spans="1:9" x14ac:dyDescent="0.25">
      <c r="A199" t="s">
        <v>717</v>
      </c>
      <c r="B199" t="s">
        <v>113</v>
      </c>
      <c r="C199" t="s">
        <v>185</v>
      </c>
      <c r="D199" t="str">
        <f t="shared" si="11"/>
        <v>2025-10</v>
      </c>
      <c r="E199" t="s">
        <v>189</v>
      </c>
      <c r="F199">
        <v>230000</v>
      </c>
      <c r="H199" t="str">
        <f t="shared" si="13"/>
        <v/>
      </c>
      <c r="I199" s="10">
        <f t="shared" si="12"/>
        <v>45940</v>
      </c>
    </row>
    <row r="200" spans="1:9" x14ac:dyDescent="0.25">
      <c r="A200" t="s">
        <v>718</v>
      </c>
      <c r="B200" t="s">
        <v>113</v>
      </c>
      <c r="C200" t="s">
        <v>185</v>
      </c>
      <c r="D200" t="str">
        <f t="shared" si="11"/>
        <v>2025-11</v>
      </c>
      <c r="E200" t="s">
        <v>190</v>
      </c>
      <c r="F200">
        <v>230000</v>
      </c>
      <c r="H200" t="str">
        <f t="shared" si="13"/>
        <v/>
      </c>
      <c r="I200" s="10">
        <f t="shared" si="12"/>
        <v>45971</v>
      </c>
    </row>
    <row r="201" spans="1:9" x14ac:dyDescent="0.25">
      <c r="A201" t="s">
        <v>719</v>
      </c>
      <c r="B201" t="s">
        <v>113</v>
      </c>
      <c r="C201" t="s">
        <v>185</v>
      </c>
      <c r="D201" t="str">
        <f t="shared" si="11"/>
        <v>2025-12</v>
      </c>
      <c r="E201" t="s">
        <v>191</v>
      </c>
      <c r="F201">
        <v>230000</v>
      </c>
      <c r="H201" t="str">
        <f t="shared" si="13"/>
        <v/>
      </c>
      <c r="I201" s="10">
        <f t="shared" si="12"/>
        <v>46001</v>
      </c>
    </row>
    <row r="202" spans="1:9" x14ac:dyDescent="0.25">
      <c r="A202" t="s">
        <v>720</v>
      </c>
      <c r="B202" t="s">
        <v>113</v>
      </c>
      <c r="C202" t="s">
        <v>185</v>
      </c>
      <c r="D202" t="str">
        <f t="shared" si="11"/>
        <v>2026-01</v>
      </c>
      <c r="E202" t="s">
        <v>192</v>
      </c>
      <c r="F202">
        <v>230000</v>
      </c>
      <c r="H202" t="str">
        <f t="shared" si="13"/>
        <v/>
      </c>
      <c r="I202" s="10">
        <f t="shared" si="12"/>
        <v>46032</v>
      </c>
    </row>
    <row r="203" spans="1:9" x14ac:dyDescent="0.25">
      <c r="A203" t="s">
        <v>721</v>
      </c>
      <c r="B203" t="s">
        <v>113</v>
      </c>
      <c r="C203" t="s">
        <v>185</v>
      </c>
      <c r="D203" t="str">
        <f t="shared" si="11"/>
        <v>2026-02</v>
      </c>
      <c r="E203" t="s">
        <v>193</v>
      </c>
      <c r="F203">
        <v>230000</v>
      </c>
      <c r="H203" t="str">
        <f t="shared" si="13"/>
        <v/>
      </c>
      <c r="I203" s="10">
        <f t="shared" si="12"/>
        <v>46063</v>
      </c>
    </row>
    <row r="204" spans="1:9" x14ac:dyDescent="0.25">
      <c r="A204" t="s">
        <v>722</v>
      </c>
      <c r="B204" t="s">
        <v>113</v>
      </c>
      <c r="C204" t="s">
        <v>185</v>
      </c>
      <c r="D204" t="str">
        <f t="shared" si="11"/>
        <v>2026-03</v>
      </c>
      <c r="E204" t="s">
        <v>194</v>
      </c>
      <c r="F204">
        <v>230000</v>
      </c>
      <c r="H204" t="str">
        <f t="shared" si="13"/>
        <v/>
      </c>
      <c r="I204" s="10">
        <f t="shared" si="12"/>
        <v>46091</v>
      </c>
    </row>
    <row r="205" spans="1:9" x14ac:dyDescent="0.25">
      <c r="A205" t="s">
        <v>723</v>
      </c>
      <c r="B205" t="s">
        <v>113</v>
      </c>
      <c r="C205" t="s">
        <v>185</v>
      </c>
      <c r="D205" t="str">
        <f t="shared" si="11"/>
        <v>2026-04</v>
      </c>
      <c r="E205" t="s">
        <v>217</v>
      </c>
      <c r="F205">
        <v>230000</v>
      </c>
      <c r="H205" t="str">
        <f t="shared" si="13"/>
        <v/>
      </c>
      <c r="I205" s="10">
        <f t="shared" si="12"/>
        <v>46122</v>
      </c>
    </row>
    <row r="206" spans="1:9" x14ac:dyDescent="0.25">
      <c r="A206" t="s">
        <v>724</v>
      </c>
      <c r="B206" t="s">
        <v>117</v>
      </c>
      <c r="C206" t="s">
        <v>185</v>
      </c>
      <c r="D206" t="str">
        <f t="shared" si="11"/>
        <v>2025-07</v>
      </c>
      <c r="E206" t="s">
        <v>186</v>
      </c>
      <c r="F206">
        <v>230000</v>
      </c>
      <c r="G206" t="s">
        <v>1073</v>
      </c>
      <c r="H206">
        <f t="shared" si="13"/>
        <v>230000</v>
      </c>
      <c r="I206" s="10">
        <f t="shared" si="12"/>
        <v>45848</v>
      </c>
    </row>
    <row r="207" spans="1:9" x14ac:dyDescent="0.25">
      <c r="A207" t="s">
        <v>725</v>
      </c>
      <c r="B207" t="s">
        <v>117</v>
      </c>
      <c r="C207" t="s">
        <v>185</v>
      </c>
      <c r="D207" t="str">
        <f t="shared" si="11"/>
        <v>2025-08</v>
      </c>
      <c r="E207" t="s">
        <v>187</v>
      </c>
      <c r="F207">
        <v>230000</v>
      </c>
      <c r="H207" t="str">
        <f t="shared" si="13"/>
        <v/>
      </c>
      <c r="I207" s="10">
        <f t="shared" si="12"/>
        <v>45879</v>
      </c>
    </row>
    <row r="208" spans="1:9" x14ac:dyDescent="0.25">
      <c r="A208" t="s">
        <v>726</v>
      </c>
      <c r="B208" t="s">
        <v>117</v>
      </c>
      <c r="C208" t="s">
        <v>185</v>
      </c>
      <c r="D208" t="str">
        <f t="shared" si="11"/>
        <v>2025-09</v>
      </c>
      <c r="E208" t="s">
        <v>188</v>
      </c>
      <c r="F208">
        <v>230000</v>
      </c>
      <c r="H208" t="str">
        <f t="shared" si="13"/>
        <v/>
      </c>
      <c r="I208" s="10">
        <f t="shared" si="12"/>
        <v>45910</v>
      </c>
    </row>
    <row r="209" spans="1:9" x14ac:dyDescent="0.25">
      <c r="A209" t="s">
        <v>727</v>
      </c>
      <c r="B209" t="s">
        <v>117</v>
      </c>
      <c r="C209" t="s">
        <v>185</v>
      </c>
      <c r="D209" t="str">
        <f t="shared" si="11"/>
        <v>2025-10</v>
      </c>
      <c r="E209" t="s">
        <v>189</v>
      </c>
      <c r="F209">
        <v>230000</v>
      </c>
      <c r="H209" t="str">
        <f t="shared" si="13"/>
        <v/>
      </c>
      <c r="I209" s="10">
        <f t="shared" si="12"/>
        <v>45940</v>
      </c>
    </row>
    <row r="210" spans="1:9" x14ac:dyDescent="0.25">
      <c r="A210" t="s">
        <v>728</v>
      </c>
      <c r="B210" t="s">
        <v>117</v>
      </c>
      <c r="C210" t="s">
        <v>185</v>
      </c>
      <c r="D210" t="str">
        <f t="shared" si="11"/>
        <v>2025-11</v>
      </c>
      <c r="E210" t="s">
        <v>190</v>
      </c>
      <c r="F210">
        <v>230000</v>
      </c>
      <c r="H210" t="str">
        <f t="shared" si="13"/>
        <v/>
      </c>
      <c r="I210" s="10">
        <f t="shared" si="12"/>
        <v>45971</v>
      </c>
    </row>
    <row r="211" spans="1:9" x14ac:dyDescent="0.25">
      <c r="A211" t="s">
        <v>729</v>
      </c>
      <c r="B211" t="s">
        <v>117</v>
      </c>
      <c r="C211" t="s">
        <v>185</v>
      </c>
      <c r="D211" t="str">
        <f t="shared" si="11"/>
        <v>2025-12</v>
      </c>
      <c r="E211" t="s">
        <v>191</v>
      </c>
      <c r="F211">
        <v>230000</v>
      </c>
      <c r="H211" t="str">
        <f t="shared" si="13"/>
        <v/>
      </c>
      <c r="I211" s="10">
        <f t="shared" si="12"/>
        <v>46001</v>
      </c>
    </row>
    <row r="212" spans="1:9" x14ac:dyDescent="0.25">
      <c r="A212" t="s">
        <v>730</v>
      </c>
      <c r="B212" t="s">
        <v>117</v>
      </c>
      <c r="C212" t="s">
        <v>185</v>
      </c>
      <c r="D212" t="str">
        <f t="shared" si="11"/>
        <v>2026-01</v>
      </c>
      <c r="E212" t="s">
        <v>192</v>
      </c>
      <c r="F212">
        <v>230000</v>
      </c>
      <c r="H212" t="str">
        <f t="shared" si="13"/>
        <v/>
      </c>
      <c r="I212" s="10">
        <f t="shared" si="12"/>
        <v>46032</v>
      </c>
    </row>
    <row r="213" spans="1:9" x14ac:dyDescent="0.25">
      <c r="A213" t="s">
        <v>731</v>
      </c>
      <c r="B213" t="s">
        <v>117</v>
      </c>
      <c r="C213" t="s">
        <v>185</v>
      </c>
      <c r="D213" t="str">
        <f t="shared" si="11"/>
        <v>2026-02</v>
      </c>
      <c r="E213" t="s">
        <v>193</v>
      </c>
      <c r="F213">
        <v>230000</v>
      </c>
      <c r="H213" t="str">
        <f t="shared" si="13"/>
        <v/>
      </c>
      <c r="I213" s="10">
        <f t="shared" si="12"/>
        <v>46063</v>
      </c>
    </row>
    <row r="214" spans="1:9" x14ac:dyDescent="0.25">
      <c r="A214" t="s">
        <v>732</v>
      </c>
      <c r="B214" t="s">
        <v>117</v>
      </c>
      <c r="C214" t="s">
        <v>185</v>
      </c>
      <c r="D214" t="str">
        <f t="shared" si="11"/>
        <v>2026-03</v>
      </c>
      <c r="E214" t="s">
        <v>194</v>
      </c>
      <c r="F214">
        <v>230000</v>
      </c>
      <c r="H214" t="str">
        <f t="shared" si="13"/>
        <v/>
      </c>
      <c r="I214" s="10">
        <f t="shared" si="12"/>
        <v>46091</v>
      </c>
    </row>
    <row r="215" spans="1:9" x14ac:dyDescent="0.25">
      <c r="A215" t="s">
        <v>733</v>
      </c>
      <c r="B215" t="s">
        <v>117</v>
      </c>
      <c r="C215" t="s">
        <v>185</v>
      </c>
      <c r="D215" t="str">
        <f t="shared" si="11"/>
        <v>2026-04</v>
      </c>
      <c r="E215" t="s">
        <v>217</v>
      </c>
      <c r="F215">
        <v>230000</v>
      </c>
      <c r="H215" t="str">
        <f t="shared" si="13"/>
        <v/>
      </c>
      <c r="I215" s="10">
        <f t="shared" si="12"/>
        <v>46122</v>
      </c>
    </row>
    <row r="216" spans="1:9" x14ac:dyDescent="0.25">
      <c r="A216" t="s">
        <v>734</v>
      </c>
      <c r="B216" t="s">
        <v>125</v>
      </c>
      <c r="C216" t="s">
        <v>185</v>
      </c>
      <c r="D216" t="str">
        <f t="shared" si="11"/>
        <v>2025-07</v>
      </c>
      <c r="E216" t="s">
        <v>186</v>
      </c>
      <c r="F216">
        <v>230000</v>
      </c>
      <c r="G216" t="s">
        <v>1073</v>
      </c>
      <c r="H216">
        <f t="shared" si="13"/>
        <v>230000</v>
      </c>
      <c r="I216" s="10">
        <f t="shared" si="12"/>
        <v>45848</v>
      </c>
    </row>
    <row r="217" spans="1:9" x14ac:dyDescent="0.25">
      <c r="A217" t="s">
        <v>735</v>
      </c>
      <c r="B217" t="s">
        <v>125</v>
      </c>
      <c r="C217" t="s">
        <v>185</v>
      </c>
      <c r="D217" t="str">
        <f t="shared" si="11"/>
        <v>2025-08</v>
      </c>
      <c r="E217" t="s">
        <v>187</v>
      </c>
      <c r="F217">
        <v>230000</v>
      </c>
      <c r="H217" t="str">
        <f t="shared" si="13"/>
        <v/>
      </c>
      <c r="I217" s="10">
        <f t="shared" si="12"/>
        <v>45879</v>
      </c>
    </row>
    <row r="218" spans="1:9" x14ac:dyDescent="0.25">
      <c r="A218" t="s">
        <v>736</v>
      </c>
      <c r="B218" t="s">
        <v>125</v>
      </c>
      <c r="C218" t="s">
        <v>185</v>
      </c>
      <c r="D218" t="str">
        <f t="shared" si="11"/>
        <v>2025-09</v>
      </c>
      <c r="E218" t="s">
        <v>188</v>
      </c>
      <c r="F218">
        <v>230000</v>
      </c>
      <c r="H218" t="str">
        <f t="shared" si="13"/>
        <v/>
      </c>
      <c r="I218" s="10">
        <f t="shared" si="12"/>
        <v>45910</v>
      </c>
    </row>
    <row r="219" spans="1:9" x14ac:dyDescent="0.25">
      <c r="A219" t="s">
        <v>737</v>
      </c>
      <c r="B219" t="s">
        <v>125</v>
      </c>
      <c r="C219" t="s">
        <v>185</v>
      </c>
      <c r="D219" t="str">
        <f t="shared" si="11"/>
        <v>2025-10</v>
      </c>
      <c r="E219" t="s">
        <v>189</v>
      </c>
      <c r="F219">
        <v>230000</v>
      </c>
      <c r="H219" t="str">
        <f t="shared" si="13"/>
        <v/>
      </c>
      <c r="I219" s="10">
        <f t="shared" si="12"/>
        <v>45940</v>
      </c>
    </row>
    <row r="220" spans="1:9" x14ac:dyDescent="0.25">
      <c r="A220" t="s">
        <v>738</v>
      </c>
      <c r="B220" t="s">
        <v>125</v>
      </c>
      <c r="C220" t="s">
        <v>185</v>
      </c>
      <c r="D220" t="str">
        <f t="shared" si="11"/>
        <v>2025-11</v>
      </c>
      <c r="E220" t="s">
        <v>190</v>
      </c>
      <c r="F220">
        <v>230000</v>
      </c>
      <c r="H220" t="str">
        <f t="shared" si="13"/>
        <v/>
      </c>
      <c r="I220" s="10">
        <f t="shared" si="12"/>
        <v>45971</v>
      </c>
    </row>
    <row r="221" spans="1:9" x14ac:dyDescent="0.25">
      <c r="A221" t="s">
        <v>739</v>
      </c>
      <c r="B221" t="s">
        <v>125</v>
      </c>
      <c r="C221" t="s">
        <v>185</v>
      </c>
      <c r="D221" t="str">
        <f t="shared" si="11"/>
        <v>2025-12</v>
      </c>
      <c r="E221" t="s">
        <v>191</v>
      </c>
      <c r="F221">
        <v>230000</v>
      </c>
      <c r="H221" t="str">
        <f t="shared" si="13"/>
        <v/>
      </c>
      <c r="I221" s="10">
        <f t="shared" si="12"/>
        <v>46001</v>
      </c>
    </row>
    <row r="222" spans="1:9" x14ac:dyDescent="0.25">
      <c r="A222" t="s">
        <v>740</v>
      </c>
      <c r="B222" t="s">
        <v>129</v>
      </c>
      <c r="C222" t="s">
        <v>185</v>
      </c>
      <c r="D222" t="str">
        <f t="shared" si="11"/>
        <v>2025-07</v>
      </c>
      <c r="E222" t="s">
        <v>186</v>
      </c>
      <c r="F222">
        <v>230000</v>
      </c>
      <c r="G222" t="s">
        <v>1073</v>
      </c>
      <c r="H222">
        <f t="shared" si="13"/>
        <v>230000</v>
      </c>
      <c r="I222" s="10">
        <f t="shared" si="12"/>
        <v>45848</v>
      </c>
    </row>
    <row r="223" spans="1:9" x14ac:dyDescent="0.25">
      <c r="A223" t="s">
        <v>741</v>
      </c>
      <c r="B223" t="s">
        <v>129</v>
      </c>
      <c r="C223" t="s">
        <v>185</v>
      </c>
      <c r="D223" t="str">
        <f t="shared" si="11"/>
        <v>2025-08</v>
      </c>
      <c r="E223" t="s">
        <v>187</v>
      </c>
      <c r="F223">
        <v>230000</v>
      </c>
      <c r="H223" t="str">
        <f t="shared" si="13"/>
        <v/>
      </c>
      <c r="I223" s="10">
        <f t="shared" si="12"/>
        <v>45879</v>
      </c>
    </row>
    <row r="224" spans="1:9" x14ac:dyDescent="0.25">
      <c r="A224" t="s">
        <v>742</v>
      </c>
      <c r="B224" t="s">
        <v>129</v>
      </c>
      <c r="C224" t="s">
        <v>185</v>
      </c>
      <c r="D224" t="str">
        <f t="shared" si="11"/>
        <v>2025-09</v>
      </c>
      <c r="E224" t="s">
        <v>188</v>
      </c>
      <c r="F224">
        <v>230000</v>
      </c>
      <c r="H224" t="str">
        <f t="shared" si="13"/>
        <v/>
      </c>
      <c r="I224" s="10">
        <f t="shared" si="12"/>
        <v>45910</v>
      </c>
    </row>
    <row r="225" spans="1:9" x14ac:dyDescent="0.25">
      <c r="A225" t="s">
        <v>743</v>
      </c>
      <c r="B225" t="s">
        <v>129</v>
      </c>
      <c r="C225" t="s">
        <v>185</v>
      </c>
      <c r="D225" t="str">
        <f t="shared" si="11"/>
        <v>2025-10</v>
      </c>
      <c r="E225" t="s">
        <v>189</v>
      </c>
      <c r="F225">
        <v>230000</v>
      </c>
      <c r="H225" t="str">
        <f t="shared" si="13"/>
        <v/>
      </c>
      <c r="I225" s="10">
        <f t="shared" si="12"/>
        <v>45940</v>
      </c>
    </row>
    <row r="226" spans="1:9" x14ac:dyDescent="0.25">
      <c r="A226" t="s">
        <v>744</v>
      </c>
      <c r="B226" t="s">
        <v>129</v>
      </c>
      <c r="C226" t="s">
        <v>185</v>
      </c>
      <c r="D226" t="str">
        <f t="shared" si="11"/>
        <v>2025-11</v>
      </c>
      <c r="E226" t="s">
        <v>190</v>
      </c>
      <c r="F226">
        <v>230000</v>
      </c>
      <c r="H226" t="str">
        <f t="shared" si="13"/>
        <v/>
      </c>
      <c r="I226" s="10">
        <f t="shared" si="12"/>
        <v>45971</v>
      </c>
    </row>
    <row r="227" spans="1:9" x14ac:dyDescent="0.25">
      <c r="A227" t="s">
        <v>745</v>
      </c>
      <c r="B227" t="s">
        <v>129</v>
      </c>
      <c r="C227" t="s">
        <v>185</v>
      </c>
      <c r="D227" t="str">
        <f t="shared" si="11"/>
        <v>2025-12</v>
      </c>
      <c r="E227" t="s">
        <v>191</v>
      </c>
      <c r="F227">
        <v>230000</v>
      </c>
      <c r="H227" t="str">
        <f t="shared" si="13"/>
        <v/>
      </c>
      <c r="I227" s="10">
        <f t="shared" si="12"/>
        <v>46001</v>
      </c>
    </row>
    <row r="228" spans="1:9" x14ac:dyDescent="0.25">
      <c r="A228" t="s">
        <v>746</v>
      </c>
      <c r="B228" t="s">
        <v>129</v>
      </c>
      <c r="C228" t="s">
        <v>185</v>
      </c>
      <c r="D228" t="str">
        <f t="shared" si="11"/>
        <v>2026-01</v>
      </c>
      <c r="E228" t="s">
        <v>192</v>
      </c>
      <c r="F228">
        <v>230000</v>
      </c>
      <c r="H228" t="str">
        <f t="shared" si="13"/>
        <v/>
      </c>
      <c r="I228" s="10">
        <f t="shared" si="12"/>
        <v>46032</v>
      </c>
    </row>
    <row r="229" spans="1:9" x14ac:dyDescent="0.25">
      <c r="A229" t="s">
        <v>747</v>
      </c>
      <c r="B229" t="s">
        <v>129</v>
      </c>
      <c r="C229" t="s">
        <v>185</v>
      </c>
      <c r="D229" t="str">
        <f t="shared" si="11"/>
        <v>2026-02</v>
      </c>
      <c r="E229" t="s">
        <v>193</v>
      </c>
      <c r="F229">
        <v>230000</v>
      </c>
      <c r="H229" t="str">
        <f t="shared" si="13"/>
        <v/>
      </c>
      <c r="I229" s="10">
        <f t="shared" si="12"/>
        <v>46063</v>
      </c>
    </row>
    <row r="230" spans="1:9" x14ac:dyDescent="0.25">
      <c r="A230" t="s">
        <v>748</v>
      </c>
      <c r="B230" t="s">
        <v>133</v>
      </c>
      <c r="C230" t="s">
        <v>185</v>
      </c>
      <c r="D230" t="str">
        <f t="shared" si="11"/>
        <v>2025-07</v>
      </c>
      <c r="E230" t="s">
        <v>186</v>
      </c>
      <c r="F230">
        <v>230000</v>
      </c>
      <c r="G230" t="s">
        <v>1073</v>
      </c>
      <c r="H230">
        <f t="shared" si="13"/>
        <v>230000</v>
      </c>
      <c r="I230" s="10">
        <f t="shared" si="12"/>
        <v>45848</v>
      </c>
    </row>
    <row r="231" spans="1:9" x14ac:dyDescent="0.25">
      <c r="A231" t="s">
        <v>749</v>
      </c>
      <c r="B231" t="s">
        <v>133</v>
      </c>
      <c r="C231" t="s">
        <v>185</v>
      </c>
      <c r="D231" t="str">
        <f t="shared" si="11"/>
        <v>2025-08</v>
      </c>
      <c r="E231" t="s">
        <v>187</v>
      </c>
      <c r="F231">
        <v>230000</v>
      </c>
      <c r="H231" t="str">
        <f t="shared" si="13"/>
        <v/>
      </c>
      <c r="I231" s="10">
        <f t="shared" si="12"/>
        <v>45879</v>
      </c>
    </row>
    <row r="232" spans="1:9" x14ac:dyDescent="0.25">
      <c r="A232" t="s">
        <v>750</v>
      </c>
      <c r="B232" t="s">
        <v>133</v>
      </c>
      <c r="C232" t="s">
        <v>185</v>
      </c>
      <c r="D232" t="str">
        <f t="shared" si="11"/>
        <v>2025-09</v>
      </c>
      <c r="E232" t="s">
        <v>188</v>
      </c>
      <c r="F232">
        <v>230000</v>
      </c>
      <c r="H232" t="str">
        <f t="shared" si="13"/>
        <v/>
      </c>
      <c r="I232" s="10">
        <f t="shared" si="12"/>
        <v>45910</v>
      </c>
    </row>
    <row r="233" spans="1:9" x14ac:dyDescent="0.25">
      <c r="A233" t="s">
        <v>751</v>
      </c>
      <c r="B233" t="s">
        <v>133</v>
      </c>
      <c r="C233" t="s">
        <v>185</v>
      </c>
      <c r="D233" t="str">
        <f t="shared" si="11"/>
        <v>2025-10</v>
      </c>
      <c r="E233" t="s">
        <v>189</v>
      </c>
      <c r="F233">
        <v>230000</v>
      </c>
      <c r="H233" t="str">
        <f t="shared" si="13"/>
        <v/>
      </c>
      <c r="I233" s="10">
        <f t="shared" si="12"/>
        <v>45940</v>
      </c>
    </row>
    <row r="234" spans="1:9" x14ac:dyDescent="0.25">
      <c r="A234" t="s">
        <v>752</v>
      </c>
      <c r="B234" t="s">
        <v>133</v>
      </c>
      <c r="C234" t="s">
        <v>185</v>
      </c>
      <c r="D234" t="str">
        <f t="shared" si="11"/>
        <v>2025-11</v>
      </c>
      <c r="E234" t="s">
        <v>190</v>
      </c>
      <c r="F234">
        <v>230000</v>
      </c>
      <c r="H234" t="str">
        <f t="shared" si="13"/>
        <v/>
      </c>
      <c r="I234" s="10">
        <f t="shared" si="12"/>
        <v>45971</v>
      </c>
    </row>
    <row r="235" spans="1:9" x14ac:dyDescent="0.25">
      <c r="A235" t="s">
        <v>753</v>
      </c>
      <c r="B235" t="s">
        <v>133</v>
      </c>
      <c r="C235" t="s">
        <v>185</v>
      </c>
      <c r="D235" t="str">
        <f t="shared" si="11"/>
        <v>2025-12</v>
      </c>
      <c r="E235" t="s">
        <v>191</v>
      </c>
      <c r="F235">
        <v>230000</v>
      </c>
      <c r="H235" t="str">
        <f t="shared" si="13"/>
        <v/>
      </c>
      <c r="I235" s="10">
        <f t="shared" si="12"/>
        <v>46001</v>
      </c>
    </row>
    <row r="236" spans="1:9" x14ac:dyDescent="0.25">
      <c r="A236" t="s">
        <v>754</v>
      </c>
      <c r="B236" t="s">
        <v>133</v>
      </c>
      <c r="C236" t="s">
        <v>185</v>
      </c>
      <c r="D236" t="str">
        <f t="shared" si="11"/>
        <v>2026-01</v>
      </c>
      <c r="E236" t="s">
        <v>192</v>
      </c>
      <c r="F236">
        <v>230000</v>
      </c>
      <c r="H236" t="str">
        <f t="shared" si="13"/>
        <v/>
      </c>
      <c r="I236" s="10">
        <f t="shared" si="12"/>
        <v>46032</v>
      </c>
    </row>
    <row r="237" spans="1:9" x14ac:dyDescent="0.25">
      <c r="A237" t="s">
        <v>755</v>
      </c>
      <c r="B237" t="s">
        <v>133</v>
      </c>
      <c r="C237" t="s">
        <v>185</v>
      </c>
      <c r="D237" t="str">
        <f t="shared" si="11"/>
        <v>2026-02</v>
      </c>
      <c r="E237" t="s">
        <v>193</v>
      </c>
      <c r="F237">
        <v>230000</v>
      </c>
      <c r="H237" t="str">
        <f t="shared" si="13"/>
        <v/>
      </c>
      <c r="I237" s="10">
        <f t="shared" si="12"/>
        <v>46063</v>
      </c>
    </row>
    <row r="238" spans="1:9" x14ac:dyDescent="0.25">
      <c r="A238" t="s">
        <v>756</v>
      </c>
      <c r="B238" t="s">
        <v>133</v>
      </c>
      <c r="C238" t="s">
        <v>185</v>
      </c>
      <c r="D238" t="str">
        <f t="shared" si="11"/>
        <v>2026-03</v>
      </c>
      <c r="E238" t="s">
        <v>194</v>
      </c>
      <c r="F238">
        <v>230000</v>
      </c>
      <c r="H238" t="str">
        <f t="shared" si="13"/>
        <v/>
      </c>
      <c r="I238" s="10">
        <f t="shared" si="12"/>
        <v>46091</v>
      </c>
    </row>
    <row r="239" spans="1:9" x14ac:dyDescent="0.25">
      <c r="A239" t="s">
        <v>757</v>
      </c>
      <c r="B239" t="s">
        <v>133</v>
      </c>
      <c r="C239" t="s">
        <v>185</v>
      </c>
      <c r="D239" t="str">
        <f t="shared" si="11"/>
        <v>2026-04</v>
      </c>
      <c r="E239" t="s">
        <v>217</v>
      </c>
      <c r="F239">
        <v>230000</v>
      </c>
      <c r="H239" t="str">
        <f t="shared" si="13"/>
        <v/>
      </c>
      <c r="I239" s="10">
        <f t="shared" si="12"/>
        <v>46122</v>
      </c>
    </row>
    <row r="240" spans="1:9" x14ac:dyDescent="0.25">
      <c r="A240" t="s">
        <v>758</v>
      </c>
      <c r="B240" t="s">
        <v>137</v>
      </c>
      <c r="C240" t="s">
        <v>185</v>
      </c>
      <c r="D240" t="str">
        <f t="shared" si="11"/>
        <v>2025-07</v>
      </c>
      <c r="E240" t="s">
        <v>186</v>
      </c>
      <c r="F240">
        <v>230000</v>
      </c>
      <c r="G240" t="s">
        <v>1073</v>
      </c>
      <c r="H240">
        <f t="shared" si="13"/>
        <v>230000</v>
      </c>
      <c r="I240" s="10">
        <f t="shared" si="12"/>
        <v>45848</v>
      </c>
    </row>
    <row r="241" spans="1:9" x14ac:dyDescent="0.25">
      <c r="A241" t="s">
        <v>759</v>
      </c>
      <c r="B241" t="s">
        <v>137</v>
      </c>
      <c r="C241" t="s">
        <v>185</v>
      </c>
      <c r="D241" t="str">
        <f t="shared" si="11"/>
        <v>2025-08</v>
      </c>
      <c r="E241" t="s">
        <v>187</v>
      </c>
      <c r="F241">
        <v>230000</v>
      </c>
      <c r="H241" t="str">
        <f t="shared" si="13"/>
        <v/>
      </c>
      <c r="I241" s="10">
        <f t="shared" si="12"/>
        <v>45879</v>
      </c>
    </row>
    <row r="242" spans="1:9" x14ac:dyDescent="0.25">
      <c r="A242" t="s">
        <v>760</v>
      </c>
      <c r="B242" t="s">
        <v>137</v>
      </c>
      <c r="C242" t="s">
        <v>185</v>
      </c>
      <c r="D242" t="str">
        <f t="shared" si="11"/>
        <v>2025-09</v>
      </c>
      <c r="E242" t="s">
        <v>188</v>
      </c>
      <c r="F242">
        <v>230000</v>
      </c>
      <c r="H242" t="str">
        <f t="shared" si="13"/>
        <v/>
      </c>
      <c r="I242" s="10">
        <f t="shared" si="12"/>
        <v>45910</v>
      </c>
    </row>
    <row r="243" spans="1:9" x14ac:dyDescent="0.25">
      <c r="A243" t="s">
        <v>761</v>
      </c>
      <c r="B243" t="s">
        <v>137</v>
      </c>
      <c r="C243" t="s">
        <v>185</v>
      </c>
      <c r="D243" t="str">
        <f t="shared" si="11"/>
        <v>2025-10</v>
      </c>
      <c r="E243" t="s">
        <v>189</v>
      </c>
      <c r="F243">
        <v>230000</v>
      </c>
      <c r="H243" t="str">
        <f t="shared" si="13"/>
        <v/>
      </c>
      <c r="I243" s="10">
        <f t="shared" si="12"/>
        <v>45940</v>
      </c>
    </row>
    <row r="244" spans="1:9" x14ac:dyDescent="0.25">
      <c r="A244" t="s">
        <v>762</v>
      </c>
      <c r="B244" t="s">
        <v>137</v>
      </c>
      <c r="C244" t="s">
        <v>185</v>
      </c>
      <c r="D244" t="str">
        <f t="shared" si="11"/>
        <v>2025-11</v>
      </c>
      <c r="E244" t="s">
        <v>190</v>
      </c>
      <c r="F244">
        <v>230000</v>
      </c>
      <c r="H244" t="str">
        <f t="shared" si="13"/>
        <v/>
      </c>
      <c r="I244" s="10">
        <f t="shared" si="12"/>
        <v>45971</v>
      </c>
    </row>
    <row r="245" spans="1:9" x14ac:dyDescent="0.25">
      <c r="A245" t="s">
        <v>763</v>
      </c>
      <c r="B245" t="s">
        <v>137</v>
      </c>
      <c r="C245" t="s">
        <v>185</v>
      </c>
      <c r="D245" t="str">
        <f t="shared" si="11"/>
        <v>2025-12</v>
      </c>
      <c r="E245" t="s">
        <v>191</v>
      </c>
      <c r="F245">
        <v>230000</v>
      </c>
      <c r="H245" t="str">
        <f t="shared" si="13"/>
        <v/>
      </c>
      <c r="I245" s="10">
        <f t="shared" si="12"/>
        <v>46001</v>
      </c>
    </row>
    <row r="246" spans="1:9" x14ac:dyDescent="0.25">
      <c r="A246" t="s">
        <v>764</v>
      </c>
      <c r="B246" t="s">
        <v>137</v>
      </c>
      <c r="C246" t="s">
        <v>185</v>
      </c>
      <c r="D246" t="str">
        <f t="shared" si="11"/>
        <v>2026-01</v>
      </c>
      <c r="E246" t="s">
        <v>192</v>
      </c>
      <c r="F246">
        <v>230000</v>
      </c>
      <c r="H246" t="str">
        <f t="shared" si="13"/>
        <v/>
      </c>
      <c r="I246" s="10">
        <f t="shared" si="12"/>
        <v>46032</v>
      </c>
    </row>
    <row r="247" spans="1:9" x14ac:dyDescent="0.25">
      <c r="A247" t="s">
        <v>765</v>
      </c>
      <c r="B247" t="s">
        <v>137</v>
      </c>
      <c r="C247" t="s">
        <v>185</v>
      </c>
      <c r="D247" t="str">
        <f t="shared" si="11"/>
        <v>2026-02</v>
      </c>
      <c r="E247" t="s">
        <v>193</v>
      </c>
      <c r="F247">
        <v>230000</v>
      </c>
      <c r="H247" t="str">
        <f t="shared" si="13"/>
        <v/>
      </c>
      <c r="I247" s="10">
        <f t="shared" si="12"/>
        <v>46063</v>
      </c>
    </row>
    <row r="248" spans="1:9" x14ac:dyDescent="0.25">
      <c r="A248" t="s">
        <v>766</v>
      </c>
      <c r="B248" t="s">
        <v>137</v>
      </c>
      <c r="C248" t="s">
        <v>185</v>
      </c>
      <c r="D248" t="str">
        <f t="shared" si="11"/>
        <v>2026-03</v>
      </c>
      <c r="E248" t="s">
        <v>194</v>
      </c>
      <c r="F248">
        <v>230000</v>
      </c>
      <c r="H248" t="str">
        <f t="shared" si="13"/>
        <v/>
      </c>
      <c r="I248" s="10">
        <f t="shared" si="12"/>
        <v>46091</v>
      </c>
    </row>
    <row r="249" spans="1:9" x14ac:dyDescent="0.25">
      <c r="A249" t="s">
        <v>767</v>
      </c>
      <c r="B249" t="s">
        <v>137</v>
      </c>
      <c r="C249" t="s">
        <v>185</v>
      </c>
      <c r="D249" t="str">
        <f t="shared" si="11"/>
        <v>2026-04</v>
      </c>
      <c r="E249" t="s">
        <v>217</v>
      </c>
      <c r="F249">
        <v>230000</v>
      </c>
      <c r="H249" t="str">
        <f t="shared" si="13"/>
        <v/>
      </c>
      <c r="I249" s="10">
        <f t="shared" si="12"/>
        <v>46122</v>
      </c>
    </row>
    <row r="250" spans="1:9" x14ac:dyDescent="0.25">
      <c r="A250" t="s">
        <v>768</v>
      </c>
      <c r="B250" t="s">
        <v>141</v>
      </c>
      <c r="C250" t="s">
        <v>185</v>
      </c>
      <c r="D250" t="str">
        <f t="shared" si="11"/>
        <v>2025-07</v>
      </c>
      <c r="E250" t="s">
        <v>186</v>
      </c>
      <c r="F250">
        <v>230000</v>
      </c>
      <c r="G250" t="s">
        <v>1073</v>
      </c>
      <c r="H250">
        <f t="shared" si="13"/>
        <v>230000</v>
      </c>
      <c r="I250" s="10">
        <f t="shared" si="12"/>
        <v>45848</v>
      </c>
    </row>
    <row r="251" spans="1:9" x14ac:dyDescent="0.25">
      <c r="A251" t="s">
        <v>769</v>
      </c>
      <c r="B251" t="s">
        <v>141</v>
      </c>
      <c r="C251" t="s">
        <v>185</v>
      </c>
      <c r="D251" t="str">
        <f t="shared" si="11"/>
        <v>2025-08</v>
      </c>
      <c r="E251" t="s">
        <v>187</v>
      </c>
      <c r="F251">
        <v>230000</v>
      </c>
      <c r="H251" t="str">
        <f t="shared" si="13"/>
        <v/>
      </c>
      <c r="I251" s="10">
        <f t="shared" si="12"/>
        <v>45879</v>
      </c>
    </row>
    <row r="252" spans="1:9" x14ac:dyDescent="0.25">
      <c r="A252" t="s">
        <v>770</v>
      </c>
      <c r="B252" t="s">
        <v>141</v>
      </c>
      <c r="C252" t="s">
        <v>185</v>
      </c>
      <c r="D252" t="str">
        <f t="shared" si="11"/>
        <v>2025-09</v>
      </c>
      <c r="E252" t="s">
        <v>188</v>
      </c>
      <c r="F252">
        <v>230000</v>
      </c>
      <c r="H252" t="str">
        <f t="shared" si="13"/>
        <v/>
      </c>
      <c r="I252" s="10">
        <f t="shared" si="12"/>
        <v>45910</v>
      </c>
    </row>
    <row r="253" spans="1:9" x14ac:dyDescent="0.25">
      <c r="A253" t="s">
        <v>771</v>
      </c>
      <c r="B253" t="s">
        <v>141</v>
      </c>
      <c r="C253" t="s">
        <v>185</v>
      </c>
      <c r="D253" t="str">
        <f t="shared" ref="D253:D315" si="14">IF(ISNUMBER(SEARCH("Juli",E253)),"2025-07",
IF(ISNUMBER(SEARCH("Agustus",E253)),"2025-08",
IF(ISNUMBER(SEARCH("September",E253)),"2025-09",
IF(ISNUMBER(SEARCH("Oktober",E253)),"2025-10",
IF(ISNUMBER(SEARCH("November",E253)),"2025-11",
IF(ISNUMBER(SEARCH("Desember",E253)),"2025-12",
IF(ISNUMBER(SEARCH("Januari",E253)),"2026-01",
IF(ISNUMBER(SEARCH("Februari",E253)),"2026-02",
IF(ISNUMBER(SEARCH("Maret",E253)),"2026-03",
IF(ISNUMBER(SEARCH("April",E253)),"2026-04",
IF(ISNUMBER(SEARCH("Mei",E253)),"2026-05",
IF(ISNUMBER(SEARCH("Juni",E253)),"2026-06",""))))))))))))</f>
        <v>2025-10</v>
      </c>
      <c r="E253" t="s">
        <v>189</v>
      </c>
      <c r="F253">
        <v>230000</v>
      </c>
      <c r="H253" t="str">
        <f t="shared" si="13"/>
        <v/>
      </c>
      <c r="I253" s="10">
        <f t="shared" ref="I253:I315" si="15">DATE(LEFT(D253,4),RIGHT(D253,2),10)</f>
        <v>45940</v>
      </c>
    </row>
    <row r="254" spans="1:9" x14ac:dyDescent="0.25">
      <c r="A254" t="s">
        <v>772</v>
      </c>
      <c r="B254" t="s">
        <v>145</v>
      </c>
      <c r="C254" t="s">
        <v>185</v>
      </c>
      <c r="D254" t="str">
        <f t="shared" si="14"/>
        <v>2025-07</v>
      </c>
      <c r="E254" t="s">
        <v>186</v>
      </c>
      <c r="F254">
        <v>150000</v>
      </c>
      <c r="G254" t="s">
        <v>1073</v>
      </c>
      <c r="H254">
        <f t="shared" si="13"/>
        <v>230000</v>
      </c>
      <c r="I254" s="10">
        <f t="shared" si="15"/>
        <v>45848</v>
      </c>
    </row>
    <row r="255" spans="1:9" x14ac:dyDescent="0.25">
      <c r="A255" t="s">
        <v>773</v>
      </c>
      <c r="B255" t="s">
        <v>145</v>
      </c>
      <c r="C255" t="s">
        <v>185</v>
      </c>
      <c r="D255" t="str">
        <f t="shared" si="14"/>
        <v>2025-08</v>
      </c>
      <c r="E255" t="s">
        <v>187</v>
      </c>
      <c r="F255">
        <v>150000</v>
      </c>
      <c r="H255" t="str">
        <f t="shared" si="13"/>
        <v/>
      </c>
      <c r="I255" s="10">
        <f t="shared" si="15"/>
        <v>45879</v>
      </c>
    </row>
    <row r="256" spans="1:9" x14ac:dyDescent="0.25">
      <c r="A256" t="s">
        <v>774</v>
      </c>
      <c r="B256" t="s">
        <v>145</v>
      </c>
      <c r="C256" t="s">
        <v>185</v>
      </c>
      <c r="D256" t="str">
        <f t="shared" si="14"/>
        <v>2025-09</v>
      </c>
      <c r="E256" t="s">
        <v>188</v>
      </c>
      <c r="F256">
        <v>150000</v>
      </c>
      <c r="H256" t="str">
        <f t="shared" si="13"/>
        <v/>
      </c>
      <c r="I256" s="10">
        <f t="shared" si="15"/>
        <v>45910</v>
      </c>
    </row>
    <row r="257" spans="1:9" x14ac:dyDescent="0.25">
      <c r="A257" t="s">
        <v>775</v>
      </c>
      <c r="B257" t="s">
        <v>145</v>
      </c>
      <c r="C257" t="s">
        <v>185</v>
      </c>
      <c r="D257" t="str">
        <f t="shared" si="14"/>
        <v>2025-10</v>
      </c>
      <c r="E257" t="s">
        <v>189</v>
      </c>
      <c r="F257">
        <v>150000</v>
      </c>
      <c r="H257" t="str">
        <f t="shared" si="13"/>
        <v/>
      </c>
      <c r="I257" s="10">
        <f t="shared" si="15"/>
        <v>45940</v>
      </c>
    </row>
    <row r="258" spans="1:9" x14ac:dyDescent="0.25">
      <c r="A258" t="s">
        <v>776</v>
      </c>
      <c r="B258" t="s">
        <v>145</v>
      </c>
      <c r="C258" t="s">
        <v>185</v>
      </c>
      <c r="D258" t="str">
        <f t="shared" si="14"/>
        <v>2025-11</v>
      </c>
      <c r="E258" t="s">
        <v>190</v>
      </c>
      <c r="F258">
        <v>150000</v>
      </c>
      <c r="H258" t="str">
        <f t="shared" si="13"/>
        <v/>
      </c>
      <c r="I258" s="10">
        <f t="shared" si="15"/>
        <v>45971</v>
      </c>
    </row>
    <row r="259" spans="1:9" x14ac:dyDescent="0.25">
      <c r="A259" t="s">
        <v>777</v>
      </c>
      <c r="B259" t="s">
        <v>145</v>
      </c>
      <c r="C259" t="s">
        <v>185</v>
      </c>
      <c r="D259" t="str">
        <f t="shared" si="14"/>
        <v>2025-12</v>
      </c>
      <c r="E259" t="s">
        <v>191</v>
      </c>
      <c r="F259">
        <v>150000</v>
      </c>
      <c r="H259" t="str">
        <f t="shared" si="13"/>
        <v/>
      </c>
      <c r="I259" s="10">
        <f t="shared" si="15"/>
        <v>46001</v>
      </c>
    </row>
    <row r="260" spans="1:9" x14ac:dyDescent="0.25">
      <c r="A260" t="s">
        <v>778</v>
      </c>
      <c r="B260" t="s">
        <v>145</v>
      </c>
      <c r="C260" t="s">
        <v>185</v>
      </c>
      <c r="D260" t="str">
        <f t="shared" si="14"/>
        <v>2026-01</v>
      </c>
      <c r="E260" t="s">
        <v>192</v>
      </c>
      <c r="F260">
        <v>150000</v>
      </c>
      <c r="H260" t="str">
        <f t="shared" ref="H260:H273" si="16">IF(ISNUMBER(SEARCH("Juli",E260)),230000,"")</f>
        <v/>
      </c>
      <c r="I260" s="10">
        <f t="shared" si="15"/>
        <v>46032</v>
      </c>
    </row>
    <row r="261" spans="1:9" x14ac:dyDescent="0.25">
      <c r="A261" t="s">
        <v>779</v>
      </c>
      <c r="B261" t="s">
        <v>145</v>
      </c>
      <c r="C261" t="s">
        <v>185</v>
      </c>
      <c r="D261" t="str">
        <f t="shared" si="14"/>
        <v>2026-02</v>
      </c>
      <c r="E261" t="s">
        <v>193</v>
      </c>
      <c r="F261">
        <v>150000</v>
      </c>
      <c r="H261" t="str">
        <f t="shared" si="16"/>
        <v/>
      </c>
      <c r="I261" s="10">
        <f t="shared" si="15"/>
        <v>46063</v>
      </c>
    </row>
    <row r="262" spans="1:9" x14ac:dyDescent="0.25">
      <c r="A262" t="s">
        <v>780</v>
      </c>
      <c r="B262" t="s">
        <v>145</v>
      </c>
      <c r="C262" t="s">
        <v>185</v>
      </c>
      <c r="D262" t="str">
        <f t="shared" si="14"/>
        <v>2026-03</v>
      </c>
      <c r="E262" t="s">
        <v>194</v>
      </c>
      <c r="F262">
        <v>150000</v>
      </c>
      <c r="H262" t="str">
        <f t="shared" si="16"/>
        <v/>
      </c>
      <c r="I262" s="10">
        <f t="shared" si="15"/>
        <v>46091</v>
      </c>
    </row>
    <row r="263" spans="1:9" x14ac:dyDescent="0.25">
      <c r="A263" t="s">
        <v>781</v>
      </c>
      <c r="B263" t="s">
        <v>145</v>
      </c>
      <c r="C263" t="s">
        <v>185</v>
      </c>
      <c r="D263" t="str">
        <f t="shared" si="14"/>
        <v>2026-04</v>
      </c>
      <c r="E263" t="s">
        <v>217</v>
      </c>
      <c r="F263">
        <v>150000</v>
      </c>
      <c r="H263" t="str">
        <f t="shared" si="16"/>
        <v/>
      </c>
      <c r="I263" s="10">
        <f t="shared" si="15"/>
        <v>46122</v>
      </c>
    </row>
    <row r="264" spans="1:9" x14ac:dyDescent="0.25">
      <c r="A264" t="s">
        <v>782</v>
      </c>
      <c r="B264" t="s">
        <v>149</v>
      </c>
      <c r="C264" t="s">
        <v>185</v>
      </c>
      <c r="D264" t="str">
        <f t="shared" si="14"/>
        <v>2025-07</v>
      </c>
      <c r="E264" t="s">
        <v>186</v>
      </c>
      <c r="F264">
        <v>230000</v>
      </c>
      <c r="G264" t="s">
        <v>1073</v>
      </c>
      <c r="H264">
        <f t="shared" si="16"/>
        <v>230000</v>
      </c>
      <c r="I264" s="10">
        <f t="shared" si="15"/>
        <v>45848</v>
      </c>
    </row>
    <row r="265" spans="1:9" x14ac:dyDescent="0.25">
      <c r="A265" t="s">
        <v>783</v>
      </c>
      <c r="B265" t="s">
        <v>149</v>
      </c>
      <c r="C265" t="s">
        <v>185</v>
      </c>
      <c r="D265" t="str">
        <f t="shared" si="14"/>
        <v>2025-08</v>
      </c>
      <c r="E265" t="s">
        <v>187</v>
      </c>
      <c r="F265">
        <v>230000</v>
      </c>
      <c r="H265" t="str">
        <f t="shared" si="16"/>
        <v/>
      </c>
      <c r="I265" s="10">
        <f t="shared" si="15"/>
        <v>45879</v>
      </c>
    </row>
    <row r="266" spans="1:9" x14ac:dyDescent="0.25">
      <c r="A266" t="s">
        <v>784</v>
      </c>
      <c r="B266" t="s">
        <v>149</v>
      </c>
      <c r="C266" t="s">
        <v>185</v>
      </c>
      <c r="D266" t="str">
        <f t="shared" si="14"/>
        <v>2025-09</v>
      </c>
      <c r="E266" t="s">
        <v>188</v>
      </c>
      <c r="F266">
        <v>230000</v>
      </c>
      <c r="H266" t="str">
        <f t="shared" si="16"/>
        <v/>
      </c>
      <c r="I266" s="10">
        <f t="shared" si="15"/>
        <v>45910</v>
      </c>
    </row>
    <row r="267" spans="1:9" x14ac:dyDescent="0.25">
      <c r="A267" t="s">
        <v>785</v>
      </c>
      <c r="B267" t="s">
        <v>149</v>
      </c>
      <c r="C267" t="s">
        <v>185</v>
      </c>
      <c r="D267" t="str">
        <f t="shared" si="14"/>
        <v>2025-10</v>
      </c>
      <c r="E267" t="s">
        <v>189</v>
      </c>
      <c r="F267">
        <v>230000</v>
      </c>
      <c r="H267" t="str">
        <f t="shared" si="16"/>
        <v/>
      </c>
      <c r="I267" s="10">
        <f t="shared" si="15"/>
        <v>45940</v>
      </c>
    </row>
    <row r="268" spans="1:9" x14ac:dyDescent="0.25">
      <c r="A268" t="s">
        <v>786</v>
      </c>
      <c r="B268" t="s">
        <v>149</v>
      </c>
      <c r="C268" t="s">
        <v>185</v>
      </c>
      <c r="D268" t="str">
        <f t="shared" si="14"/>
        <v>2025-11</v>
      </c>
      <c r="E268" t="s">
        <v>190</v>
      </c>
      <c r="F268">
        <v>230000</v>
      </c>
      <c r="H268" t="str">
        <f t="shared" si="16"/>
        <v/>
      </c>
      <c r="I268" s="10">
        <f t="shared" si="15"/>
        <v>45971</v>
      </c>
    </row>
    <row r="269" spans="1:9" x14ac:dyDescent="0.25">
      <c r="A269" t="s">
        <v>787</v>
      </c>
      <c r="B269" t="s">
        <v>149</v>
      </c>
      <c r="C269" t="s">
        <v>185</v>
      </c>
      <c r="D269" t="str">
        <f t="shared" si="14"/>
        <v>2025-12</v>
      </c>
      <c r="E269" t="s">
        <v>191</v>
      </c>
      <c r="F269">
        <v>230000</v>
      </c>
      <c r="H269" t="str">
        <f t="shared" si="16"/>
        <v/>
      </c>
      <c r="I269" s="10">
        <f t="shared" si="15"/>
        <v>46001</v>
      </c>
    </row>
    <row r="270" spans="1:9" x14ac:dyDescent="0.25">
      <c r="A270" t="s">
        <v>788</v>
      </c>
      <c r="B270" t="s">
        <v>149</v>
      </c>
      <c r="C270" t="s">
        <v>185</v>
      </c>
      <c r="D270" t="str">
        <f t="shared" si="14"/>
        <v>2026-01</v>
      </c>
      <c r="E270" t="s">
        <v>192</v>
      </c>
      <c r="F270">
        <v>230000</v>
      </c>
      <c r="H270" t="str">
        <f t="shared" si="16"/>
        <v/>
      </c>
      <c r="I270" s="10">
        <f t="shared" si="15"/>
        <v>46032</v>
      </c>
    </row>
    <row r="271" spans="1:9" x14ac:dyDescent="0.25">
      <c r="A271" t="s">
        <v>789</v>
      </c>
      <c r="B271" t="s">
        <v>149</v>
      </c>
      <c r="C271" t="s">
        <v>185</v>
      </c>
      <c r="D271" t="str">
        <f t="shared" si="14"/>
        <v>2026-02</v>
      </c>
      <c r="E271" t="s">
        <v>193</v>
      </c>
      <c r="F271">
        <v>230000</v>
      </c>
      <c r="H271" t="str">
        <f t="shared" si="16"/>
        <v/>
      </c>
      <c r="I271" s="10">
        <f t="shared" si="15"/>
        <v>46063</v>
      </c>
    </row>
    <row r="272" spans="1:9" x14ac:dyDescent="0.25">
      <c r="A272" t="s">
        <v>790</v>
      </c>
      <c r="B272" t="s">
        <v>149</v>
      </c>
      <c r="C272" t="s">
        <v>185</v>
      </c>
      <c r="D272" t="str">
        <f t="shared" si="14"/>
        <v>2026-03</v>
      </c>
      <c r="E272" t="s">
        <v>194</v>
      </c>
      <c r="F272">
        <v>230000</v>
      </c>
      <c r="H272" t="str">
        <f t="shared" si="16"/>
        <v/>
      </c>
      <c r="I272" s="10">
        <f t="shared" si="15"/>
        <v>46091</v>
      </c>
    </row>
    <row r="273" spans="1:9" x14ac:dyDescent="0.25">
      <c r="A273" t="s">
        <v>791</v>
      </c>
      <c r="B273" t="s">
        <v>149</v>
      </c>
      <c r="C273" t="s">
        <v>185</v>
      </c>
      <c r="D273" t="str">
        <f t="shared" si="14"/>
        <v>2026-04</v>
      </c>
      <c r="E273" t="s">
        <v>217</v>
      </c>
      <c r="F273">
        <v>230000</v>
      </c>
      <c r="H273" t="str">
        <f t="shared" si="16"/>
        <v/>
      </c>
      <c r="I273" s="10">
        <f t="shared" si="15"/>
        <v>46122</v>
      </c>
    </row>
    <row r="274" spans="1:9" x14ac:dyDescent="0.25">
      <c r="A274" t="s">
        <v>792</v>
      </c>
      <c r="B274" t="s">
        <v>153</v>
      </c>
      <c r="C274" t="s">
        <v>185</v>
      </c>
      <c r="D274" t="str">
        <f t="shared" si="14"/>
        <v>2025-07</v>
      </c>
      <c r="E274" t="s">
        <v>186</v>
      </c>
      <c r="F274">
        <v>230000</v>
      </c>
      <c r="I274" s="10">
        <f t="shared" si="15"/>
        <v>45848</v>
      </c>
    </row>
    <row r="275" spans="1:9" x14ac:dyDescent="0.25">
      <c r="A275" t="s">
        <v>793</v>
      </c>
      <c r="B275" t="s">
        <v>153</v>
      </c>
      <c r="C275" t="s">
        <v>185</v>
      </c>
      <c r="D275" t="str">
        <f t="shared" si="14"/>
        <v>2025-08</v>
      </c>
      <c r="E275" t="s">
        <v>187</v>
      </c>
      <c r="F275">
        <v>230000</v>
      </c>
      <c r="H275" t="str">
        <f t="shared" ref="H275:H321" si="17">IF(ISNUMBER(SEARCH("Juli",E275)),230000,"")</f>
        <v/>
      </c>
      <c r="I275" s="10">
        <f t="shared" si="15"/>
        <v>45879</v>
      </c>
    </row>
    <row r="276" spans="1:9" x14ac:dyDescent="0.25">
      <c r="A276" t="s">
        <v>794</v>
      </c>
      <c r="B276" t="s">
        <v>153</v>
      </c>
      <c r="C276" t="s">
        <v>185</v>
      </c>
      <c r="D276" t="str">
        <f t="shared" si="14"/>
        <v>2025-09</v>
      </c>
      <c r="E276" t="s">
        <v>188</v>
      </c>
      <c r="F276">
        <v>230000</v>
      </c>
      <c r="H276" t="str">
        <f t="shared" si="17"/>
        <v/>
      </c>
      <c r="I276" s="10">
        <f t="shared" si="15"/>
        <v>45910</v>
      </c>
    </row>
    <row r="277" spans="1:9" x14ac:dyDescent="0.25">
      <c r="A277" t="s">
        <v>795</v>
      </c>
      <c r="B277" t="s">
        <v>153</v>
      </c>
      <c r="C277" t="s">
        <v>185</v>
      </c>
      <c r="D277" t="str">
        <f t="shared" si="14"/>
        <v>2025-10</v>
      </c>
      <c r="E277" t="s">
        <v>189</v>
      </c>
      <c r="F277">
        <v>230000</v>
      </c>
      <c r="H277" t="str">
        <f t="shared" si="17"/>
        <v/>
      </c>
      <c r="I277" s="10">
        <f t="shared" si="15"/>
        <v>45940</v>
      </c>
    </row>
    <row r="278" spans="1:9" x14ac:dyDescent="0.25">
      <c r="A278" t="s">
        <v>796</v>
      </c>
      <c r="B278" t="s">
        <v>153</v>
      </c>
      <c r="C278" t="s">
        <v>185</v>
      </c>
      <c r="D278" t="str">
        <f t="shared" si="14"/>
        <v>2025-11</v>
      </c>
      <c r="E278" t="s">
        <v>190</v>
      </c>
      <c r="F278">
        <v>230000</v>
      </c>
      <c r="H278" t="str">
        <f t="shared" si="17"/>
        <v/>
      </c>
      <c r="I278" s="10">
        <f t="shared" si="15"/>
        <v>45971</v>
      </c>
    </row>
    <row r="279" spans="1:9" x14ac:dyDescent="0.25">
      <c r="A279" t="s">
        <v>797</v>
      </c>
      <c r="B279" t="s">
        <v>153</v>
      </c>
      <c r="C279" t="s">
        <v>185</v>
      </c>
      <c r="D279" t="str">
        <f t="shared" si="14"/>
        <v>2025-12</v>
      </c>
      <c r="E279" t="s">
        <v>191</v>
      </c>
      <c r="F279">
        <v>230000</v>
      </c>
      <c r="H279" t="str">
        <f t="shared" si="17"/>
        <v/>
      </c>
      <c r="I279" s="10">
        <f t="shared" si="15"/>
        <v>46001</v>
      </c>
    </row>
    <row r="280" spans="1:9" x14ac:dyDescent="0.25">
      <c r="A280" t="s">
        <v>798</v>
      </c>
      <c r="B280" t="s">
        <v>153</v>
      </c>
      <c r="C280" t="s">
        <v>185</v>
      </c>
      <c r="D280" t="str">
        <f t="shared" si="14"/>
        <v>2026-01</v>
      </c>
      <c r="E280" t="s">
        <v>192</v>
      </c>
      <c r="F280">
        <v>230000</v>
      </c>
      <c r="H280" t="str">
        <f t="shared" si="17"/>
        <v/>
      </c>
      <c r="I280" s="10">
        <f t="shared" si="15"/>
        <v>46032</v>
      </c>
    </row>
    <row r="281" spans="1:9" x14ac:dyDescent="0.25">
      <c r="A281" t="s">
        <v>799</v>
      </c>
      <c r="B281" t="s">
        <v>153</v>
      </c>
      <c r="C281" t="s">
        <v>185</v>
      </c>
      <c r="D281" t="str">
        <f t="shared" si="14"/>
        <v>2026-02</v>
      </c>
      <c r="E281" t="s">
        <v>193</v>
      </c>
      <c r="F281">
        <v>230000</v>
      </c>
      <c r="H281" t="str">
        <f t="shared" si="17"/>
        <v/>
      </c>
      <c r="I281" s="10">
        <f t="shared" si="15"/>
        <v>46063</v>
      </c>
    </row>
    <row r="282" spans="1:9" x14ac:dyDescent="0.25">
      <c r="A282" t="s">
        <v>800</v>
      </c>
      <c r="B282" t="s">
        <v>153</v>
      </c>
      <c r="C282" t="s">
        <v>185</v>
      </c>
      <c r="D282" t="str">
        <f t="shared" si="14"/>
        <v>2026-03</v>
      </c>
      <c r="E282" t="s">
        <v>194</v>
      </c>
      <c r="F282">
        <v>230000</v>
      </c>
      <c r="H282" t="str">
        <f t="shared" si="17"/>
        <v/>
      </c>
      <c r="I282" s="10">
        <f t="shared" si="15"/>
        <v>46091</v>
      </c>
    </row>
    <row r="283" spans="1:9" x14ac:dyDescent="0.25">
      <c r="A283" t="s">
        <v>801</v>
      </c>
      <c r="B283" t="s">
        <v>153</v>
      </c>
      <c r="C283" t="s">
        <v>185</v>
      </c>
      <c r="D283" t="str">
        <f t="shared" si="14"/>
        <v>2026-04</v>
      </c>
      <c r="E283" t="s">
        <v>217</v>
      </c>
      <c r="F283">
        <v>230000</v>
      </c>
      <c r="H283" t="str">
        <f t="shared" si="17"/>
        <v/>
      </c>
      <c r="I283" s="10">
        <f t="shared" si="15"/>
        <v>46122</v>
      </c>
    </row>
    <row r="284" spans="1:9" x14ac:dyDescent="0.25">
      <c r="A284" t="s">
        <v>802</v>
      </c>
      <c r="B284" t="s">
        <v>159</v>
      </c>
      <c r="C284" t="s">
        <v>185</v>
      </c>
      <c r="D284" t="str">
        <f t="shared" si="14"/>
        <v>2025-07</v>
      </c>
      <c r="E284" t="s">
        <v>186</v>
      </c>
      <c r="F284">
        <v>230000</v>
      </c>
      <c r="G284" t="s">
        <v>1073</v>
      </c>
      <c r="H284">
        <f t="shared" si="17"/>
        <v>230000</v>
      </c>
      <c r="I284" s="10">
        <f t="shared" si="15"/>
        <v>45848</v>
      </c>
    </row>
    <row r="285" spans="1:9" x14ac:dyDescent="0.25">
      <c r="A285" t="s">
        <v>803</v>
      </c>
      <c r="B285" t="s">
        <v>159</v>
      </c>
      <c r="C285" t="s">
        <v>185</v>
      </c>
      <c r="D285" t="str">
        <f t="shared" si="14"/>
        <v>2025-08</v>
      </c>
      <c r="E285" t="s">
        <v>187</v>
      </c>
      <c r="F285">
        <v>230000</v>
      </c>
      <c r="H285" t="str">
        <f t="shared" si="17"/>
        <v/>
      </c>
      <c r="I285" s="10">
        <f t="shared" si="15"/>
        <v>45879</v>
      </c>
    </row>
    <row r="286" spans="1:9" x14ac:dyDescent="0.25">
      <c r="A286" t="s">
        <v>804</v>
      </c>
      <c r="B286" t="s">
        <v>159</v>
      </c>
      <c r="C286" t="s">
        <v>185</v>
      </c>
      <c r="D286" t="str">
        <f t="shared" si="14"/>
        <v>2025-09</v>
      </c>
      <c r="E286" t="s">
        <v>188</v>
      </c>
      <c r="F286">
        <v>230000</v>
      </c>
      <c r="H286" t="str">
        <f t="shared" si="17"/>
        <v/>
      </c>
      <c r="I286" s="10">
        <f t="shared" si="15"/>
        <v>45910</v>
      </c>
    </row>
    <row r="287" spans="1:9" x14ac:dyDescent="0.25">
      <c r="A287" t="s">
        <v>805</v>
      </c>
      <c r="B287" t="s">
        <v>159</v>
      </c>
      <c r="C287" t="s">
        <v>185</v>
      </c>
      <c r="D287" t="str">
        <f t="shared" si="14"/>
        <v>2025-10</v>
      </c>
      <c r="E287" t="s">
        <v>189</v>
      </c>
      <c r="F287">
        <v>230000</v>
      </c>
      <c r="H287" t="str">
        <f t="shared" si="17"/>
        <v/>
      </c>
      <c r="I287" s="10">
        <f t="shared" si="15"/>
        <v>45940</v>
      </c>
    </row>
    <row r="288" spans="1:9" x14ac:dyDescent="0.25">
      <c r="A288" t="s">
        <v>806</v>
      </c>
      <c r="B288" t="s">
        <v>159</v>
      </c>
      <c r="C288" t="s">
        <v>185</v>
      </c>
      <c r="D288" t="str">
        <f t="shared" si="14"/>
        <v>2025-11</v>
      </c>
      <c r="E288" t="s">
        <v>190</v>
      </c>
      <c r="F288">
        <v>230000</v>
      </c>
      <c r="H288" t="str">
        <f t="shared" si="17"/>
        <v/>
      </c>
      <c r="I288" s="10">
        <f t="shared" si="15"/>
        <v>45971</v>
      </c>
    </row>
    <row r="289" spans="1:9" x14ac:dyDescent="0.25">
      <c r="A289" t="s">
        <v>807</v>
      </c>
      <c r="B289" t="s">
        <v>159</v>
      </c>
      <c r="C289" t="s">
        <v>185</v>
      </c>
      <c r="D289" t="str">
        <f t="shared" si="14"/>
        <v>2025-12</v>
      </c>
      <c r="E289" t="s">
        <v>191</v>
      </c>
      <c r="F289">
        <v>230000</v>
      </c>
      <c r="H289" t="str">
        <f t="shared" si="17"/>
        <v/>
      </c>
      <c r="I289" s="10">
        <f t="shared" si="15"/>
        <v>46001</v>
      </c>
    </row>
    <row r="290" spans="1:9" x14ac:dyDescent="0.25">
      <c r="A290" t="s">
        <v>808</v>
      </c>
      <c r="B290" t="s">
        <v>159</v>
      </c>
      <c r="C290" t="s">
        <v>185</v>
      </c>
      <c r="D290" t="str">
        <f t="shared" si="14"/>
        <v>2026-01</v>
      </c>
      <c r="E290" t="s">
        <v>192</v>
      </c>
      <c r="F290">
        <v>230000</v>
      </c>
      <c r="H290" t="str">
        <f t="shared" si="17"/>
        <v/>
      </c>
      <c r="I290" s="10">
        <f t="shared" si="15"/>
        <v>46032</v>
      </c>
    </row>
    <row r="291" spans="1:9" x14ac:dyDescent="0.25">
      <c r="A291" t="s">
        <v>809</v>
      </c>
      <c r="B291" t="s">
        <v>159</v>
      </c>
      <c r="C291" t="s">
        <v>185</v>
      </c>
      <c r="D291" t="str">
        <f t="shared" si="14"/>
        <v>2026-02</v>
      </c>
      <c r="E291" t="s">
        <v>193</v>
      </c>
      <c r="F291">
        <v>230000</v>
      </c>
      <c r="H291" t="str">
        <f t="shared" si="17"/>
        <v/>
      </c>
      <c r="I291" s="10">
        <f t="shared" si="15"/>
        <v>46063</v>
      </c>
    </row>
    <row r="292" spans="1:9" x14ac:dyDescent="0.25">
      <c r="A292" t="s">
        <v>810</v>
      </c>
      <c r="B292" t="s">
        <v>159</v>
      </c>
      <c r="C292" t="s">
        <v>185</v>
      </c>
      <c r="D292" t="str">
        <f t="shared" si="14"/>
        <v>2026-03</v>
      </c>
      <c r="E292" t="s">
        <v>194</v>
      </c>
      <c r="F292">
        <v>230000</v>
      </c>
      <c r="H292" t="str">
        <f t="shared" si="17"/>
        <v/>
      </c>
      <c r="I292" s="10">
        <f t="shared" si="15"/>
        <v>46091</v>
      </c>
    </row>
    <row r="293" spans="1:9" x14ac:dyDescent="0.25">
      <c r="A293" t="s">
        <v>811</v>
      </c>
      <c r="B293" t="s">
        <v>159</v>
      </c>
      <c r="C293" t="s">
        <v>185</v>
      </c>
      <c r="D293" t="str">
        <f t="shared" si="14"/>
        <v>2026-04</v>
      </c>
      <c r="E293" t="s">
        <v>217</v>
      </c>
      <c r="F293">
        <v>230000</v>
      </c>
      <c r="H293" t="str">
        <f t="shared" si="17"/>
        <v/>
      </c>
      <c r="I293" s="10">
        <f t="shared" si="15"/>
        <v>46122</v>
      </c>
    </row>
    <row r="294" spans="1:9" x14ac:dyDescent="0.25">
      <c r="A294" t="s">
        <v>812</v>
      </c>
      <c r="B294" t="s">
        <v>163</v>
      </c>
      <c r="C294" t="s">
        <v>185</v>
      </c>
      <c r="D294" t="str">
        <f t="shared" si="14"/>
        <v>2025-07</v>
      </c>
      <c r="E294" t="s">
        <v>186</v>
      </c>
      <c r="F294">
        <v>230000</v>
      </c>
      <c r="G294" t="s">
        <v>1073</v>
      </c>
      <c r="H294">
        <f t="shared" si="17"/>
        <v>230000</v>
      </c>
      <c r="I294" s="10">
        <f t="shared" si="15"/>
        <v>45848</v>
      </c>
    </row>
    <row r="295" spans="1:9" x14ac:dyDescent="0.25">
      <c r="A295" t="s">
        <v>813</v>
      </c>
      <c r="B295" t="s">
        <v>163</v>
      </c>
      <c r="C295" t="s">
        <v>185</v>
      </c>
      <c r="D295" t="str">
        <f t="shared" si="14"/>
        <v>2025-08</v>
      </c>
      <c r="E295" t="s">
        <v>187</v>
      </c>
      <c r="F295">
        <v>230000</v>
      </c>
      <c r="H295" t="str">
        <f t="shared" si="17"/>
        <v/>
      </c>
      <c r="I295" s="10">
        <f t="shared" si="15"/>
        <v>45879</v>
      </c>
    </row>
    <row r="296" spans="1:9" x14ac:dyDescent="0.25">
      <c r="A296" t="s">
        <v>814</v>
      </c>
      <c r="B296" t="s">
        <v>163</v>
      </c>
      <c r="C296" t="s">
        <v>185</v>
      </c>
      <c r="D296" t="str">
        <f t="shared" si="14"/>
        <v>2025-09</v>
      </c>
      <c r="E296" t="s">
        <v>188</v>
      </c>
      <c r="F296">
        <v>230000</v>
      </c>
      <c r="H296" t="str">
        <f t="shared" si="17"/>
        <v/>
      </c>
      <c r="I296" s="10">
        <f t="shared" si="15"/>
        <v>45910</v>
      </c>
    </row>
    <row r="297" spans="1:9" x14ac:dyDescent="0.25">
      <c r="A297" t="s">
        <v>815</v>
      </c>
      <c r="B297" t="s">
        <v>163</v>
      </c>
      <c r="C297" t="s">
        <v>185</v>
      </c>
      <c r="D297" t="str">
        <f t="shared" si="14"/>
        <v>2025-10</v>
      </c>
      <c r="E297" t="s">
        <v>189</v>
      </c>
      <c r="F297">
        <v>230000</v>
      </c>
      <c r="H297" t="str">
        <f t="shared" si="17"/>
        <v/>
      </c>
      <c r="I297" s="10">
        <f t="shared" si="15"/>
        <v>45940</v>
      </c>
    </row>
    <row r="298" spans="1:9" x14ac:dyDescent="0.25">
      <c r="A298" t="s">
        <v>816</v>
      </c>
      <c r="B298" t="s">
        <v>163</v>
      </c>
      <c r="C298" t="s">
        <v>185</v>
      </c>
      <c r="D298" t="str">
        <f t="shared" si="14"/>
        <v>2025-11</v>
      </c>
      <c r="E298" t="s">
        <v>190</v>
      </c>
      <c r="F298">
        <v>230000</v>
      </c>
      <c r="H298" t="str">
        <f t="shared" si="17"/>
        <v/>
      </c>
      <c r="I298" s="10">
        <f t="shared" si="15"/>
        <v>45971</v>
      </c>
    </row>
    <row r="299" spans="1:9" x14ac:dyDescent="0.25">
      <c r="A299" t="s">
        <v>817</v>
      </c>
      <c r="B299" t="s">
        <v>163</v>
      </c>
      <c r="C299" t="s">
        <v>185</v>
      </c>
      <c r="D299" t="str">
        <f t="shared" si="14"/>
        <v>2025-12</v>
      </c>
      <c r="E299" t="s">
        <v>191</v>
      </c>
      <c r="F299">
        <v>230000</v>
      </c>
      <c r="H299" t="str">
        <f t="shared" si="17"/>
        <v/>
      </c>
      <c r="I299" s="10">
        <f t="shared" si="15"/>
        <v>46001</v>
      </c>
    </row>
    <row r="300" spans="1:9" x14ac:dyDescent="0.25">
      <c r="A300" t="s">
        <v>818</v>
      </c>
      <c r="B300" t="s">
        <v>163</v>
      </c>
      <c r="C300" t="s">
        <v>185</v>
      </c>
      <c r="D300" t="str">
        <f t="shared" si="14"/>
        <v>2026-01</v>
      </c>
      <c r="E300" t="s">
        <v>192</v>
      </c>
      <c r="F300">
        <v>230000</v>
      </c>
      <c r="H300" t="str">
        <f t="shared" si="17"/>
        <v/>
      </c>
      <c r="I300" s="10">
        <f t="shared" si="15"/>
        <v>46032</v>
      </c>
    </row>
    <row r="301" spans="1:9" x14ac:dyDescent="0.25">
      <c r="A301" t="s">
        <v>819</v>
      </c>
      <c r="B301" t="s">
        <v>163</v>
      </c>
      <c r="C301" t="s">
        <v>185</v>
      </c>
      <c r="D301" t="str">
        <f t="shared" si="14"/>
        <v>2026-02</v>
      </c>
      <c r="E301" t="s">
        <v>193</v>
      </c>
      <c r="F301">
        <v>230000</v>
      </c>
      <c r="H301" t="str">
        <f t="shared" si="17"/>
        <v/>
      </c>
      <c r="I301" s="10">
        <f t="shared" si="15"/>
        <v>46063</v>
      </c>
    </row>
    <row r="302" spans="1:9" x14ac:dyDescent="0.25">
      <c r="A302" t="s">
        <v>820</v>
      </c>
      <c r="B302" t="s">
        <v>163</v>
      </c>
      <c r="C302" t="s">
        <v>185</v>
      </c>
      <c r="D302" t="str">
        <f t="shared" si="14"/>
        <v>2026-03</v>
      </c>
      <c r="E302" t="s">
        <v>194</v>
      </c>
      <c r="F302">
        <v>230000</v>
      </c>
      <c r="H302" t="str">
        <f t="shared" si="17"/>
        <v/>
      </c>
      <c r="I302" s="10">
        <f t="shared" si="15"/>
        <v>46091</v>
      </c>
    </row>
    <row r="303" spans="1:9" x14ac:dyDescent="0.25">
      <c r="A303" t="s">
        <v>821</v>
      </c>
      <c r="B303" t="s">
        <v>163</v>
      </c>
      <c r="C303" t="s">
        <v>185</v>
      </c>
      <c r="D303" t="str">
        <f t="shared" si="14"/>
        <v>2026-04</v>
      </c>
      <c r="E303" t="s">
        <v>217</v>
      </c>
      <c r="F303">
        <v>230000</v>
      </c>
      <c r="H303" t="str">
        <f t="shared" si="17"/>
        <v/>
      </c>
      <c r="I303" s="10">
        <f t="shared" si="15"/>
        <v>46122</v>
      </c>
    </row>
    <row r="304" spans="1:9" x14ac:dyDescent="0.25">
      <c r="A304" t="s">
        <v>822</v>
      </c>
      <c r="B304" t="s">
        <v>167</v>
      </c>
      <c r="C304" t="s">
        <v>185</v>
      </c>
      <c r="D304" t="str">
        <f t="shared" si="14"/>
        <v>2025-07</v>
      </c>
      <c r="E304" t="s">
        <v>186</v>
      </c>
      <c r="F304">
        <v>230000</v>
      </c>
      <c r="G304" t="s">
        <v>1073</v>
      </c>
      <c r="H304">
        <f t="shared" si="17"/>
        <v>230000</v>
      </c>
      <c r="I304" s="10">
        <f t="shared" si="15"/>
        <v>45848</v>
      </c>
    </row>
    <row r="305" spans="1:9" x14ac:dyDescent="0.25">
      <c r="A305" t="s">
        <v>823</v>
      </c>
      <c r="B305" t="s">
        <v>167</v>
      </c>
      <c r="C305" t="s">
        <v>185</v>
      </c>
      <c r="D305" t="str">
        <f t="shared" si="14"/>
        <v>2025-08</v>
      </c>
      <c r="E305" t="s">
        <v>187</v>
      </c>
      <c r="F305">
        <v>230000</v>
      </c>
      <c r="H305" t="str">
        <f t="shared" si="17"/>
        <v/>
      </c>
      <c r="I305" s="10">
        <f t="shared" si="15"/>
        <v>45879</v>
      </c>
    </row>
    <row r="306" spans="1:9" x14ac:dyDescent="0.25">
      <c r="A306" t="s">
        <v>824</v>
      </c>
      <c r="B306" t="s">
        <v>167</v>
      </c>
      <c r="C306" t="s">
        <v>185</v>
      </c>
      <c r="D306" t="str">
        <f t="shared" si="14"/>
        <v>2025-09</v>
      </c>
      <c r="E306" t="s">
        <v>188</v>
      </c>
      <c r="F306">
        <v>230000</v>
      </c>
      <c r="H306" t="str">
        <f t="shared" si="17"/>
        <v/>
      </c>
      <c r="I306" s="10">
        <f t="shared" si="15"/>
        <v>45910</v>
      </c>
    </row>
    <row r="307" spans="1:9" x14ac:dyDescent="0.25">
      <c r="A307" t="s">
        <v>825</v>
      </c>
      <c r="B307" t="s">
        <v>167</v>
      </c>
      <c r="C307" t="s">
        <v>185</v>
      </c>
      <c r="D307" t="str">
        <f t="shared" si="14"/>
        <v>2025-10</v>
      </c>
      <c r="E307" t="s">
        <v>189</v>
      </c>
      <c r="F307">
        <v>230000</v>
      </c>
      <c r="H307" t="str">
        <f t="shared" si="17"/>
        <v/>
      </c>
      <c r="I307" s="10">
        <f t="shared" si="15"/>
        <v>45940</v>
      </c>
    </row>
    <row r="308" spans="1:9" x14ac:dyDescent="0.25">
      <c r="A308" t="s">
        <v>826</v>
      </c>
      <c r="B308" t="s">
        <v>167</v>
      </c>
      <c r="C308" t="s">
        <v>185</v>
      </c>
      <c r="D308" t="str">
        <f t="shared" si="14"/>
        <v>2025-11</v>
      </c>
      <c r="E308" t="s">
        <v>190</v>
      </c>
      <c r="F308">
        <v>230000</v>
      </c>
      <c r="H308" t="str">
        <f t="shared" si="17"/>
        <v/>
      </c>
      <c r="I308" s="10">
        <f t="shared" si="15"/>
        <v>45971</v>
      </c>
    </row>
    <row r="309" spans="1:9" x14ac:dyDescent="0.25">
      <c r="A309" t="s">
        <v>827</v>
      </c>
      <c r="B309" t="s">
        <v>167</v>
      </c>
      <c r="C309" t="s">
        <v>185</v>
      </c>
      <c r="D309" t="str">
        <f t="shared" si="14"/>
        <v>2025-12</v>
      </c>
      <c r="E309" t="s">
        <v>191</v>
      </c>
      <c r="F309">
        <v>230000</v>
      </c>
      <c r="H309" t="str">
        <f t="shared" si="17"/>
        <v/>
      </c>
      <c r="I309" s="10">
        <f t="shared" si="15"/>
        <v>46001</v>
      </c>
    </row>
    <row r="310" spans="1:9" x14ac:dyDescent="0.25">
      <c r="A310" t="s">
        <v>828</v>
      </c>
      <c r="B310" t="s">
        <v>167</v>
      </c>
      <c r="C310" t="s">
        <v>185</v>
      </c>
      <c r="D310" t="str">
        <f t="shared" si="14"/>
        <v>2026-01</v>
      </c>
      <c r="E310" t="s">
        <v>192</v>
      </c>
      <c r="F310">
        <v>230000</v>
      </c>
      <c r="H310" t="str">
        <f t="shared" si="17"/>
        <v/>
      </c>
      <c r="I310" s="10">
        <f t="shared" si="15"/>
        <v>46032</v>
      </c>
    </row>
    <row r="311" spans="1:9" x14ac:dyDescent="0.25">
      <c r="A311" t="s">
        <v>829</v>
      </c>
      <c r="B311" t="s">
        <v>167</v>
      </c>
      <c r="C311" t="s">
        <v>185</v>
      </c>
      <c r="D311" t="str">
        <f t="shared" si="14"/>
        <v>2026-02</v>
      </c>
      <c r="E311" t="s">
        <v>193</v>
      </c>
      <c r="F311">
        <v>230000</v>
      </c>
      <c r="H311" t="str">
        <f t="shared" si="17"/>
        <v/>
      </c>
      <c r="I311" s="10">
        <f t="shared" si="15"/>
        <v>46063</v>
      </c>
    </row>
    <row r="312" spans="1:9" x14ac:dyDescent="0.25">
      <c r="A312" t="s">
        <v>830</v>
      </c>
      <c r="B312" t="s">
        <v>169</v>
      </c>
      <c r="C312" t="s">
        <v>185</v>
      </c>
      <c r="D312" t="str">
        <f t="shared" si="14"/>
        <v>2025-07</v>
      </c>
      <c r="E312" t="s">
        <v>186</v>
      </c>
      <c r="F312">
        <v>230000</v>
      </c>
      <c r="I312" s="10">
        <f t="shared" si="15"/>
        <v>45848</v>
      </c>
    </row>
    <row r="313" spans="1:9" x14ac:dyDescent="0.25">
      <c r="A313" t="s">
        <v>831</v>
      </c>
      <c r="B313" t="s">
        <v>169</v>
      </c>
      <c r="C313" t="s">
        <v>185</v>
      </c>
      <c r="D313" t="str">
        <f t="shared" si="14"/>
        <v>2025-08</v>
      </c>
      <c r="E313" t="s">
        <v>187</v>
      </c>
      <c r="F313">
        <v>230000</v>
      </c>
      <c r="H313" t="str">
        <f t="shared" si="17"/>
        <v/>
      </c>
      <c r="I313" s="10">
        <f t="shared" si="15"/>
        <v>45879</v>
      </c>
    </row>
    <row r="314" spans="1:9" x14ac:dyDescent="0.25">
      <c r="A314" t="s">
        <v>832</v>
      </c>
      <c r="B314" t="s">
        <v>169</v>
      </c>
      <c r="C314" t="s">
        <v>185</v>
      </c>
      <c r="D314" t="str">
        <f t="shared" si="14"/>
        <v>2025-09</v>
      </c>
      <c r="E314" t="s">
        <v>188</v>
      </c>
      <c r="F314">
        <v>230000</v>
      </c>
      <c r="H314" t="str">
        <f t="shared" si="17"/>
        <v/>
      </c>
      <c r="I314" s="10">
        <f t="shared" si="15"/>
        <v>45910</v>
      </c>
    </row>
    <row r="315" spans="1:9" x14ac:dyDescent="0.25">
      <c r="A315" t="s">
        <v>833</v>
      </c>
      <c r="B315" t="s">
        <v>169</v>
      </c>
      <c r="C315" t="s">
        <v>185</v>
      </c>
      <c r="D315" t="str">
        <f t="shared" si="14"/>
        <v>2025-10</v>
      </c>
      <c r="E315" t="s">
        <v>189</v>
      </c>
      <c r="F315">
        <v>230000</v>
      </c>
      <c r="H315" t="str">
        <f t="shared" si="17"/>
        <v/>
      </c>
      <c r="I315" s="10">
        <f t="shared" si="15"/>
        <v>45940</v>
      </c>
    </row>
    <row r="316" spans="1:9" x14ac:dyDescent="0.25">
      <c r="A316" t="s">
        <v>834</v>
      </c>
      <c r="B316" t="s">
        <v>169</v>
      </c>
      <c r="C316" t="s">
        <v>185</v>
      </c>
      <c r="D316" t="str">
        <f t="shared" ref="D316:D340" si="18">IF(ISNUMBER(SEARCH("Juli",E316)),"2025-07",
IF(ISNUMBER(SEARCH("Agustus",E316)),"2025-08",
IF(ISNUMBER(SEARCH("September",E316)),"2025-09",
IF(ISNUMBER(SEARCH("Oktober",E316)),"2025-10",
IF(ISNUMBER(SEARCH("November",E316)),"2025-11",
IF(ISNUMBER(SEARCH("Desember",E316)),"2025-12",
IF(ISNUMBER(SEARCH("Januari",E316)),"2026-01",
IF(ISNUMBER(SEARCH("Februari",E316)),"2026-02",
IF(ISNUMBER(SEARCH("Maret",E316)),"2026-03",
IF(ISNUMBER(SEARCH("April",E316)),"2026-04",
IF(ISNUMBER(SEARCH("Mei",E316)),"2026-05",
IF(ISNUMBER(SEARCH("Juni",E316)),"2026-06",""))))))))))))</f>
        <v>2025-11</v>
      </c>
      <c r="E316" t="s">
        <v>190</v>
      </c>
      <c r="F316">
        <v>230000</v>
      </c>
      <c r="H316" t="str">
        <f t="shared" si="17"/>
        <v/>
      </c>
      <c r="I316" s="10">
        <f t="shared" ref="I316:I338" si="19">DATE(LEFT(D316,4),RIGHT(D316,2),10)</f>
        <v>45971</v>
      </c>
    </row>
    <row r="317" spans="1:9" x14ac:dyDescent="0.25">
      <c r="A317" t="s">
        <v>835</v>
      </c>
      <c r="B317" t="s">
        <v>169</v>
      </c>
      <c r="C317" t="s">
        <v>185</v>
      </c>
      <c r="D317" t="str">
        <f t="shared" si="18"/>
        <v>2025-12</v>
      </c>
      <c r="E317" t="s">
        <v>191</v>
      </c>
      <c r="F317">
        <v>230000</v>
      </c>
      <c r="H317" t="str">
        <f t="shared" si="17"/>
        <v/>
      </c>
      <c r="I317" s="10">
        <f t="shared" si="19"/>
        <v>46001</v>
      </c>
    </row>
    <row r="318" spans="1:9" x14ac:dyDescent="0.25">
      <c r="A318" t="s">
        <v>836</v>
      </c>
      <c r="B318" t="s">
        <v>169</v>
      </c>
      <c r="C318" t="s">
        <v>185</v>
      </c>
      <c r="D318" t="str">
        <f t="shared" si="18"/>
        <v>2026-01</v>
      </c>
      <c r="E318" t="s">
        <v>192</v>
      </c>
      <c r="F318">
        <v>230000</v>
      </c>
      <c r="H318" t="str">
        <f t="shared" si="17"/>
        <v/>
      </c>
      <c r="I318" s="10">
        <f t="shared" si="19"/>
        <v>46032</v>
      </c>
    </row>
    <row r="319" spans="1:9" x14ac:dyDescent="0.25">
      <c r="A319" t="s">
        <v>837</v>
      </c>
      <c r="B319" t="s">
        <v>169</v>
      </c>
      <c r="C319" t="s">
        <v>185</v>
      </c>
      <c r="D319" t="str">
        <f t="shared" si="18"/>
        <v>2026-02</v>
      </c>
      <c r="E319" t="s">
        <v>193</v>
      </c>
      <c r="F319">
        <v>230000</v>
      </c>
      <c r="H319" t="str">
        <f t="shared" si="17"/>
        <v/>
      </c>
      <c r="I319" s="10">
        <f t="shared" si="19"/>
        <v>46063</v>
      </c>
    </row>
    <row r="320" spans="1:9" x14ac:dyDescent="0.25">
      <c r="A320" t="s">
        <v>838</v>
      </c>
      <c r="B320" t="s">
        <v>169</v>
      </c>
      <c r="C320" t="s">
        <v>185</v>
      </c>
      <c r="D320" t="str">
        <f t="shared" si="18"/>
        <v>2026-03</v>
      </c>
      <c r="E320" t="s">
        <v>194</v>
      </c>
      <c r="F320">
        <v>230000</v>
      </c>
      <c r="H320" t="str">
        <f t="shared" si="17"/>
        <v/>
      </c>
      <c r="I320" s="10">
        <f t="shared" si="19"/>
        <v>46091</v>
      </c>
    </row>
    <row r="321" spans="1:9" x14ac:dyDescent="0.25">
      <c r="A321" t="s">
        <v>839</v>
      </c>
      <c r="B321" t="s">
        <v>169</v>
      </c>
      <c r="C321" t="s">
        <v>185</v>
      </c>
      <c r="D321" t="str">
        <f t="shared" si="18"/>
        <v>2026-04</v>
      </c>
      <c r="E321" t="s">
        <v>217</v>
      </c>
      <c r="F321">
        <v>230000</v>
      </c>
      <c r="H321" t="str">
        <f t="shared" si="17"/>
        <v/>
      </c>
      <c r="I321" s="10">
        <f t="shared" si="19"/>
        <v>46122</v>
      </c>
    </row>
    <row r="322" spans="1:9" x14ac:dyDescent="0.25">
      <c r="A322" t="s">
        <v>840</v>
      </c>
      <c r="B322" t="s">
        <v>121</v>
      </c>
      <c r="C322" t="s">
        <v>185</v>
      </c>
      <c r="D322" t="str">
        <f t="shared" si="18"/>
        <v>2025-09</v>
      </c>
      <c r="E322" t="s">
        <v>188</v>
      </c>
      <c r="F322">
        <v>230000</v>
      </c>
      <c r="H322" t="str">
        <f t="shared" ref="H322:H340" si="20">IF(ISNUMBER(SEARCH("Juli",E322)),230000,"")</f>
        <v/>
      </c>
      <c r="I322" s="10">
        <f t="shared" si="19"/>
        <v>45910</v>
      </c>
    </row>
    <row r="323" spans="1:9" x14ac:dyDescent="0.25">
      <c r="A323" t="s">
        <v>841</v>
      </c>
      <c r="B323" t="s">
        <v>121</v>
      </c>
      <c r="C323" t="s">
        <v>185</v>
      </c>
      <c r="D323" t="str">
        <f t="shared" si="18"/>
        <v>2025-10</v>
      </c>
      <c r="E323" t="s">
        <v>189</v>
      </c>
      <c r="F323">
        <v>230000</v>
      </c>
      <c r="H323" t="str">
        <f t="shared" si="20"/>
        <v/>
      </c>
      <c r="I323" s="10">
        <f t="shared" si="19"/>
        <v>45940</v>
      </c>
    </row>
    <row r="324" spans="1:9" x14ac:dyDescent="0.25">
      <c r="A324" t="s">
        <v>842</v>
      </c>
      <c r="B324" t="s">
        <v>121</v>
      </c>
      <c r="C324" t="s">
        <v>185</v>
      </c>
      <c r="D324" t="str">
        <f t="shared" si="18"/>
        <v>2025-11</v>
      </c>
      <c r="E324" t="s">
        <v>190</v>
      </c>
      <c r="F324">
        <v>230000</v>
      </c>
      <c r="H324" t="str">
        <f t="shared" si="20"/>
        <v/>
      </c>
      <c r="I324" s="10">
        <f t="shared" si="19"/>
        <v>45971</v>
      </c>
    </row>
    <row r="325" spans="1:9" x14ac:dyDescent="0.25">
      <c r="A325" t="s">
        <v>843</v>
      </c>
      <c r="B325" t="s">
        <v>121</v>
      </c>
      <c r="C325" t="s">
        <v>185</v>
      </c>
      <c r="D325" t="str">
        <f t="shared" si="18"/>
        <v>2025-12</v>
      </c>
      <c r="E325" t="s">
        <v>191</v>
      </c>
      <c r="F325">
        <v>230000</v>
      </c>
      <c r="H325" t="str">
        <f t="shared" si="20"/>
        <v/>
      </c>
      <c r="I325" s="10">
        <f t="shared" si="19"/>
        <v>46001</v>
      </c>
    </row>
    <row r="326" spans="1:9" x14ac:dyDescent="0.25">
      <c r="A326" t="s">
        <v>844</v>
      </c>
      <c r="B326" t="s">
        <v>121</v>
      </c>
      <c r="C326" t="s">
        <v>185</v>
      </c>
      <c r="D326" t="str">
        <f t="shared" si="18"/>
        <v>2026-01</v>
      </c>
      <c r="E326" t="s">
        <v>192</v>
      </c>
      <c r="F326">
        <v>230000</v>
      </c>
      <c r="H326" t="str">
        <f t="shared" si="20"/>
        <v/>
      </c>
      <c r="I326" s="10">
        <f t="shared" si="19"/>
        <v>46032</v>
      </c>
    </row>
    <row r="327" spans="1:9" x14ac:dyDescent="0.25">
      <c r="A327" t="s">
        <v>845</v>
      </c>
      <c r="B327" t="s">
        <v>121</v>
      </c>
      <c r="C327" t="s">
        <v>185</v>
      </c>
      <c r="D327" t="str">
        <f t="shared" si="18"/>
        <v>2026-02</v>
      </c>
      <c r="E327" t="s">
        <v>193</v>
      </c>
      <c r="F327">
        <v>230000</v>
      </c>
      <c r="H327" t="str">
        <f t="shared" si="20"/>
        <v/>
      </c>
      <c r="I327" s="10">
        <f t="shared" si="19"/>
        <v>46063</v>
      </c>
    </row>
    <row r="328" spans="1:9" x14ac:dyDescent="0.25">
      <c r="A328" t="s">
        <v>846</v>
      </c>
      <c r="B328" t="s">
        <v>121</v>
      </c>
      <c r="C328" t="s">
        <v>185</v>
      </c>
      <c r="D328" t="str">
        <f t="shared" si="18"/>
        <v>2026-03</v>
      </c>
      <c r="E328" t="s">
        <v>194</v>
      </c>
      <c r="F328">
        <v>230000</v>
      </c>
      <c r="H328" t="str">
        <f t="shared" si="20"/>
        <v/>
      </c>
      <c r="I328" s="10">
        <f t="shared" si="19"/>
        <v>46091</v>
      </c>
    </row>
    <row r="329" spans="1:9" x14ac:dyDescent="0.25">
      <c r="A329" t="s">
        <v>847</v>
      </c>
      <c r="B329" t="s">
        <v>121</v>
      </c>
      <c r="C329" t="s">
        <v>185</v>
      </c>
      <c r="D329" t="str">
        <f t="shared" si="18"/>
        <v>2026-04</v>
      </c>
      <c r="E329" t="s">
        <v>217</v>
      </c>
      <c r="F329">
        <v>230000</v>
      </c>
      <c r="H329" t="str">
        <f t="shared" si="20"/>
        <v/>
      </c>
      <c r="I329" s="10">
        <f t="shared" si="19"/>
        <v>46122</v>
      </c>
    </row>
    <row r="330" spans="1:9" x14ac:dyDescent="0.25">
      <c r="A330" t="s">
        <v>848</v>
      </c>
      <c r="B330" t="s">
        <v>173</v>
      </c>
      <c r="C330" t="s">
        <v>185</v>
      </c>
      <c r="D330" t="str">
        <f t="shared" si="18"/>
        <v>2025-11</v>
      </c>
      <c r="E330" t="s">
        <v>190</v>
      </c>
      <c r="F330">
        <v>230000</v>
      </c>
      <c r="H330" t="str">
        <f t="shared" si="20"/>
        <v/>
      </c>
      <c r="I330" s="10">
        <f t="shared" si="19"/>
        <v>45971</v>
      </c>
    </row>
    <row r="331" spans="1:9" x14ac:dyDescent="0.25">
      <c r="A331" t="s">
        <v>849</v>
      </c>
      <c r="B331" t="s">
        <v>173</v>
      </c>
      <c r="C331" t="s">
        <v>185</v>
      </c>
      <c r="D331" t="str">
        <f t="shared" si="18"/>
        <v>2025-12</v>
      </c>
      <c r="E331" t="s">
        <v>191</v>
      </c>
      <c r="F331">
        <v>230000</v>
      </c>
      <c r="H331" t="str">
        <f t="shared" si="20"/>
        <v/>
      </c>
      <c r="I331" s="10">
        <f t="shared" si="19"/>
        <v>46001</v>
      </c>
    </row>
    <row r="332" spans="1:9" x14ac:dyDescent="0.25">
      <c r="A332" t="s">
        <v>850</v>
      </c>
      <c r="B332" t="s">
        <v>173</v>
      </c>
      <c r="C332" t="s">
        <v>185</v>
      </c>
      <c r="D332" t="str">
        <f t="shared" si="18"/>
        <v>2026-01</v>
      </c>
      <c r="E332" t="s">
        <v>192</v>
      </c>
      <c r="F332">
        <v>230000</v>
      </c>
      <c r="H332" t="str">
        <f t="shared" si="20"/>
        <v/>
      </c>
      <c r="I332" s="10">
        <f t="shared" si="19"/>
        <v>46032</v>
      </c>
    </row>
    <row r="333" spans="1:9" x14ac:dyDescent="0.25">
      <c r="A333" t="s">
        <v>851</v>
      </c>
      <c r="B333" t="s">
        <v>173</v>
      </c>
      <c r="C333" t="s">
        <v>185</v>
      </c>
      <c r="D333" t="str">
        <f t="shared" si="18"/>
        <v>2026-02</v>
      </c>
      <c r="E333" t="s">
        <v>193</v>
      </c>
      <c r="F333">
        <v>230000</v>
      </c>
      <c r="H333" t="str">
        <f t="shared" si="20"/>
        <v/>
      </c>
      <c r="I333" s="10">
        <f t="shared" si="19"/>
        <v>46063</v>
      </c>
    </row>
    <row r="334" spans="1:9" x14ac:dyDescent="0.25">
      <c r="A334" t="s">
        <v>852</v>
      </c>
      <c r="B334" t="s">
        <v>173</v>
      </c>
      <c r="C334" t="s">
        <v>185</v>
      </c>
      <c r="D334" t="str">
        <f t="shared" si="18"/>
        <v>2026-03</v>
      </c>
      <c r="E334" t="s">
        <v>194</v>
      </c>
      <c r="F334">
        <v>230000</v>
      </c>
      <c r="H334" t="str">
        <f t="shared" si="20"/>
        <v/>
      </c>
      <c r="I334" s="10">
        <f t="shared" si="19"/>
        <v>46091</v>
      </c>
    </row>
    <row r="335" spans="1:9" x14ac:dyDescent="0.25">
      <c r="A335" t="s">
        <v>853</v>
      </c>
      <c r="B335" t="s">
        <v>173</v>
      </c>
      <c r="C335" t="s">
        <v>185</v>
      </c>
      <c r="D335" t="str">
        <f t="shared" si="18"/>
        <v>2026-04</v>
      </c>
      <c r="E335" t="s">
        <v>217</v>
      </c>
      <c r="F335">
        <v>230000</v>
      </c>
      <c r="H335" t="str">
        <f t="shared" si="20"/>
        <v/>
      </c>
      <c r="I335" s="10">
        <f t="shared" si="19"/>
        <v>46122</v>
      </c>
    </row>
    <row r="336" spans="1:9" x14ac:dyDescent="0.25">
      <c r="A336" t="s">
        <v>854</v>
      </c>
      <c r="B336" t="s">
        <v>195</v>
      </c>
      <c r="C336" t="s">
        <v>185</v>
      </c>
      <c r="D336" t="str">
        <f t="shared" si="18"/>
        <v>2026-02</v>
      </c>
      <c r="E336" t="s">
        <v>193</v>
      </c>
      <c r="F336">
        <v>230000</v>
      </c>
      <c r="H336" t="str">
        <f t="shared" si="20"/>
        <v/>
      </c>
      <c r="I336" s="10">
        <f t="shared" si="19"/>
        <v>46063</v>
      </c>
    </row>
    <row r="337" spans="1:9" x14ac:dyDescent="0.25">
      <c r="A337" t="s">
        <v>855</v>
      </c>
      <c r="B337" t="s">
        <v>195</v>
      </c>
      <c r="C337" t="s">
        <v>185</v>
      </c>
      <c r="D337" t="str">
        <f t="shared" si="18"/>
        <v>2026-03</v>
      </c>
      <c r="E337" t="s">
        <v>194</v>
      </c>
      <c r="F337">
        <v>230000</v>
      </c>
      <c r="H337" t="str">
        <f t="shared" si="20"/>
        <v/>
      </c>
      <c r="I337" s="10">
        <f t="shared" si="19"/>
        <v>46091</v>
      </c>
    </row>
    <row r="338" spans="1:9" x14ac:dyDescent="0.25">
      <c r="A338" t="s">
        <v>856</v>
      </c>
      <c r="B338" t="s">
        <v>195</v>
      </c>
      <c r="C338" t="s">
        <v>185</v>
      </c>
      <c r="D338" t="str">
        <f t="shared" si="18"/>
        <v>2026-04</v>
      </c>
      <c r="E338" t="s">
        <v>217</v>
      </c>
      <c r="F338">
        <v>230000</v>
      </c>
      <c r="H338" t="str">
        <f t="shared" si="20"/>
        <v/>
      </c>
      <c r="I338" s="10">
        <f t="shared" si="19"/>
        <v>46122</v>
      </c>
    </row>
    <row r="339" spans="1:9" x14ac:dyDescent="0.25">
      <c r="A339" t="s">
        <v>857</v>
      </c>
      <c r="B339" t="s">
        <v>157</v>
      </c>
      <c r="C339" t="s">
        <v>185</v>
      </c>
      <c r="D339" t="str">
        <f t="shared" si="18"/>
        <v>2026-04</v>
      </c>
      <c r="E339" t="s">
        <v>217</v>
      </c>
      <c r="F339">
        <v>230000</v>
      </c>
      <c r="H339" t="str">
        <f t="shared" si="20"/>
        <v/>
      </c>
      <c r="I339" s="10">
        <f>DATE(LEFT(D339,4),RIGHT(D339,2),10)</f>
        <v>46122</v>
      </c>
    </row>
    <row r="340" spans="1:9" x14ac:dyDescent="0.25">
      <c r="A340" t="s">
        <v>858</v>
      </c>
      <c r="B340" t="e">
        <f>INDEX(siswa!A:A,MATCH(#REF!,siswa!C:C,0))</f>
        <v>#REF!</v>
      </c>
      <c r="C340" t="s">
        <v>634</v>
      </c>
      <c r="D340" t="str">
        <f t="shared" si="18"/>
        <v/>
      </c>
      <c r="E340" t="s">
        <v>635</v>
      </c>
      <c r="F340">
        <v>155000</v>
      </c>
      <c r="H340" t="str">
        <f t="shared" si="20"/>
        <v/>
      </c>
      <c r="I340" s="10">
        <v>46142</v>
      </c>
    </row>
    <row r="341" spans="1:9" x14ac:dyDescent="0.25">
      <c r="A341" t="s">
        <v>859</v>
      </c>
      <c r="B341" t="e">
        <f>INDEX(siswa!A:A,MATCH(#REF!,siswa!C:C,0))</f>
        <v>#REF!</v>
      </c>
      <c r="C341" t="s">
        <v>634</v>
      </c>
      <c r="E341" t="s">
        <v>635</v>
      </c>
      <c r="F341">
        <v>155000</v>
      </c>
      <c r="I341" s="10">
        <v>46142</v>
      </c>
    </row>
    <row r="342" spans="1:9" x14ac:dyDescent="0.25">
      <c r="A342" t="s">
        <v>860</v>
      </c>
      <c r="B342" t="e">
        <f>INDEX(siswa!A:A,MATCH(#REF!,siswa!C:C,0))</f>
        <v>#REF!</v>
      </c>
      <c r="C342" t="s">
        <v>634</v>
      </c>
      <c r="E342" t="s">
        <v>635</v>
      </c>
      <c r="F342">
        <v>155000</v>
      </c>
      <c r="I342" s="10">
        <v>46142</v>
      </c>
    </row>
    <row r="343" spans="1:9" x14ac:dyDescent="0.25">
      <c r="A343" t="s">
        <v>861</v>
      </c>
      <c r="B343" t="e">
        <f>INDEX(siswa!A:A,MATCH(#REF!,siswa!C:C,0))</f>
        <v>#REF!</v>
      </c>
      <c r="C343" t="s">
        <v>634</v>
      </c>
      <c r="E343" t="s">
        <v>635</v>
      </c>
      <c r="F343">
        <v>155000</v>
      </c>
      <c r="I343" s="10">
        <v>46142</v>
      </c>
    </row>
    <row r="344" spans="1:9" x14ac:dyDescent="0.25">
      <c r="A344" t="s">
        <v>862</v>
      </c>
      <c r="B344" t="e">
        <f>INDEX(siswa!A:A,MATCH(#REF!,siswa!C:C,0))</f>
        <v>#REF!</v>
      </c>
      <c r="C344" t="s">
        <v>634</v>
      </c>
      <c r="E344" t="s">
        <v>635</v>
      </c>
      <c r="F344">
        <v>155000</v>
      </c>
      <c r="I344" s="10">
        <v>46142</v>
      </c>
    </row>
    <row r="345" spans="1:9" x14ac:dyDescent="0.25">
      <c r="A345" t="s">
        <v>863</v>
      </c>
      <c r="B345" t="e">
        <f>INDEX(siswa!A:A,MATCH(#REF!,siswa!C:C,0))</f>
        <v>#REF!</v>
      </c>
      <c r="C345" t="s">
        <v>634</v>
      </c>
      <c r="E345" t="s">
        <v>635</v>
      </c>
      <c r="F345">
        <v>155000</v>
      </c>
      <c r="I345" s="10">
        <v>46142</v>
      </c>
    </row>
    <row r="346" spans="1:9" x14ac:dyDescent="0.25">
      <c r="A346" t="s">
        <v>864</v>
      </c>
      <c r="B346" t="e">
        <f>INDEX(siswa!A:A,MATCH(#REF!,siswa!C:C,0))</f>
        <v>#REF!</v>
      </c>
      <c r="C346" t="s">
        <v>634</v>
      </c>
      <c r="E346" t="s">
        <v>635</v>
      </c>
      <c r="F346">
        <v>155000</v>
      </c>
      <c r="I346" s="10">
        <v>46142</v>
      </c>
    </row>
    <row r="347" spans="1:9" x14ac:dyDescent="0.25">
      <c r="A347" t="s">
        <v>865</v>
      </c>
      <c r="B347" t="e">
        <f>INDEX(siswa!A:A,MATCH(#REF!,siswa!C:C,0))</f>
        <v>#REF!</v>
      </c>
      <c r="C347" t="s">
        <v>634</v>
      </c>
      <c r="E347" t="s">
        <v>635</v>
      </c>
      <c r="F347">
        <v>155000</v>
      </c>
      <c r="I347" s="10">
        <v>46142</v>
      </c>
    </row>
    <row r="348" spans="1:9" x14ac:dyDescent="0.25">
      <c r="A348" t="s">
        <v>866</v>
      </c>
      <c r="B348" t="e">
        <f>INDEX(siswa!A:A,MATCH(#REF!,siswa!C:C,0))</f>
        <v>#REF!</v>
      </c>
      <c r="C348" t="s">
        <v>634</v>
      </c>
      <c r="E348" t="s">
        <v>635</v>
      </c>
      <c r="F348">
        <v>155000</v>
      </c>
      <c r="I348" s="10">
        <v>46142</v>
      </c>
    </row>
    <row r="349" spans="1:9" x14ac:dyDescent="0.25">
      <c r="A349" t="s">
        <v>867</v>
      </c>
      <c r="B349" t="e">
        <f>INDEX(siswa!A:A,MATCH(#REF!,siswa!C:C,0))</f>
        <v>#REF!</v>
      </c>
      <c r="C349" t="s">
        <v>634</v>
      </c>
      <c r="E349" t="s">
        <v>635</v>
      </c>
      <c r="F349">
        <v>155000</v>
      </c>
      <c r="I349" s="10">
        <v>46142</v>
      </c>
    </row>
    <row r="350" spans="1:9" x14ac:dyDescent="0.25">
      <c r="A350" t="s">
        <v>868</v>
      </c>
      <c r="B350" t="e">
        <f>INDEX(siswa!A:A,MATCH(#REF!,siswa!C:C,0))</f>
        <v>#REF!</v>
      </c>
      <c r="C350" t="s">
        <v>634</v>
      </c>
      <c r="E350" t="s">
        <v>635</v>
      </c>
      <c r="F350">
        <v>155000</v>
      </c>
      <c r="I350" s="10">
        <v>46142</v>
      </c>
    </row>
    <row r="351" spans="1:9" x14ac:dyDescent="0.25">
      <c r="A351" t="s">
        <v>869</v>
      </c>
      <c r="B351" t="e">
        <f>INDEX(siswa!A:A,MATCH(#REF!,siswa!C:C,0))</f>
        <v>#REF!</v>
      </c>
      <c r="C351" t="s">
        <v>634</v>
      </c>
      <c r="E351" t="s">
        <v>635</v>
      </c>
      <c r="F351">
        <v>155000</v>
      </c>
      <c r="I351" s="10">
        <v>46142</v>
      </c>
    </row>
    <row r="352" spans="1:9" x14ac:dyDescent="0.25">
      <c r="A352" t="s">
        <v>870</v>
      </c>
      <c r="B352" t="e">
        <f>INDEX(siswa!A:A,MATCH(#REF!,siswa!C:C,0))</f>
        <v>#REF!</v>
      </c>
      <c r="C352" t="s">
        <v>634</v>
      </c>
      <c r="E352" t="s">
        <v>635</v>
      </c>
      <c r="F352">
        <v>155000</v>
      </c>
      <c r="I352" s="10">
        <v>46142</v>
      </c>
    </row>
    <row r="353" spans="1:9" x14ac:dyDescent="0.25">
      <c r="A353" t="s">
        <v>871</v>
      </c>
      <c r="B353" t="e">
        <f>INDEX(siswa!A:A,MATCH(#REF!,siswa!C:C,0))</f>
        <v>#REF!</v>
      </c>
      <c r="C353" t="s">
        <v>634</v>
      </c>
      <c r="E353" t="s">
        <v>635</v>
      </c>
      <c r="F353">
        <v>155000</v>
      </c>
      <c r="I353" s="10">
        <v>46142</v>
      </c>
    </row>
    <row r="354" spans="1:9" x14ac:dyDescent="0.25">
      <c r="A354" t="s">
        <v>872</v>
      </c>
      <c r="B354" t="e">
        <f>INDEX(siswa!A:A,MATCH(#REF!,siswa!C:C,0))</f>
        <v>#REF!</v>
      </c>
      <c r="C354" t="s">
        <v>634</v>
      </c>
      <c r="E354" t="s">
        <v>635</v>
      </c>
      <c r="F354">
        <v>155000</v>
      </c>
      <c r="I354" s="10">
        <v>46142</v>
      </c>
    </row>
    <row r="355" spans="1:9" x14ac:dyDescent="0.25">
      <c r="A355" t="s">
        <v>891</v>
      </c>
      <c r="B355" t="e">
        <f>INDEX(siswa!A:A,MATCH(#REF!,siswa!C:C,0))</f>
        <v>#REF!</v>
      </c>
      <c r="C355" t="s">
        <v>634</v>
      </c>
      <c r="E355" t="s">
        <v>635</v>
      </c>
      <c r="F355">
        <v>155000</v>
      </c>
      <c r="I355" s="10">
        <v>46142</v>
      </c>
    </row>
    <row r="356" spans="1:9" x14ac:dyDescent="0.25">
      <c r="A356" t="s">
        <v>892</v>
      </c>
      <c r="B356" t="e">
        <f>INDEX(siswa!A:A,MATCH(#REF!,siswa!C:C,0))</f>
        <v>#REF!</v>
      </c>
      <c r="C356" t="s">
        <v>634</v>
      </c>
      <c r="E356" t="s">
        <v>890</v>
      </c>
      <c r="F356">
        <v>380000</v>
      </c>
      <c r="I356" s="10">
        <v>46036</v>
      </c>
    </row>
    <row r="357" spans="1:9" x14ac:dyDescent="0.25">
      <c r="A357" t="s">
        <v>893</v>
      </c>
      <c r="B357" t="e">
        <f>INDEX(siswa!A:A,MATCH(#REF!,siswa!C:C,0))</f>
        <v>#REF!</v>
      </c>
      <c r="C357" t="s">
        <v>634</v>
      </c>
      <c r="E357" t="s">
        <v>890</v>
      </c>
      <c r="F357">
        <v>380000</v>
      </c>
      <c r="I357" s="10">
        <v>46036</v>
      </c>
    </row>
    <row r="358" spans="1:9" x14ac:dyDescent="0.25">
      <c r="A358" t="s">
        <v>894</v>
      </c>
      <c r="B358" t="e">
        <f>INDEX(siswa!A:A,MATCH(#REF!,siswa!C:C,0))</f>
        <v>#REF!</v>
      </c>
      <c r="C358" t="s">
        <v>634</v>
      </c>
      <c r="E358" t="s">
        <v>890</v>
      </c>
      <c r="F358">
        <v>380000</v>
      </c>
      <c r="I358" s="10">
        <v>46036</v>
      </c>
    </row>
    <row r="359" spans="1:9" x14ac:dyDescent="0.25">
      <c r="A359" t="s">
        <v>895</v>
      </c>
      <c r="B359" t="e">
        <f>INDEX(siswa!A:A,MATCH(#REF!,siswa!C:C,0))</f>
        <v>#REF!</v>
      </c>
      <c r="C359" t="s">
        <v>634</v>
      </c>
      <c r="E359" t="s">
        <v>890</v>
      </c>
      <c r="F359">
        <v>380000</v>
      </c>
      <c r="I359" s="10">
        <v>46036</v>
      </c>
    </row>
    <row r="360" spans="1:9" x14ac:dyDescent="0.25">
      <c r="A360" t="s">
        <v>896</v>
      </c>
      <c r="B360" t="e">
        <f>INDEX(siswa!A:A,MATCH(#REF!,siswa!C:C,0))</f>
        <v>#REF!</v>
      </c>
      <c r="C360" t="s">
        <v>634</v>
      </c>
      <c r="E360" t="s">
        <v>890</v>
      </c>
      <c r="F360">
        <v>380000</v>
      </c>
      <c r="I360" s="10">
        <v>46036</v>
      </c>
    </row>
    <row r="361" spans="1:9" x14ac:dyDescent="0.25">
      <c r="A361" t="s">
        <v>897</v>
      </c>
      <c r="B361" t="e">
        <f>INDEX(siswa!A:A,MATCH(#REF!,siswa!C:C,0))</f>
        <v>#REF!</v>
      </c>
      <c r="C361" t="s">
        <v>634</v>
      </c>
      <c r="E361" t="s">
        <v>890</v>
      </c>
      <c r="F361">
        <v>380000</v>
      </c>
      <c r="I361" s="10">
        <v>46036</v>
      </c>
    </row>
    <row r="362" spans="1:9" x14ac:dyDescent="0.25">
      <c r="A362" t="s">
        <v>898</v>
      </c>
      <c r="B362" t="e">
        <f>INDEX(siswa!A:A,MATCH(#REF!,siswa!C:C,0))</f>
        <v>#REF!</v>
      </c>
      <c r="C362" t="s">
        <v>634</v>
      </c>
      <c r="E362" t="s">
        <v>890</v>
      </c>
      <c r="F362">
        <v>380000</v>
      </c>
      <c r="I362" s="10">
        <v>46036</v>
      </c>
    </row>
    <row r="363" spans="1:9" x14ac:dyDescent="0.25">
      <c r="A363" t="s">
        <v>899</v>
      </c>
      <c r="B363" t="e">
        <f>INDEX(siswa!A:A,MATCH(#REF!,siswa!C:C,0))</f>
        <v>#REF!</v>
      </c>
      <c r="C363" t="s">
        <v>634</v>
      </c>
      <c r="E363" t="s">
        <v>890</v>
      </c>
      <c r="F363">
        <v>380000</v>
      </c>
      <c r="I363" s="10">
        <v>46036</v>
      </c>
    </row>
    <row r="364" spans="1:9" x14ac:dyDescent="0.25">
      <c r="A364" t="s">
        <v>900</v>
      </c>
      <c r="B364" t="e">
        <f>INDEX(siswa!A:A,MATCH(#REF!,siswa!C:C,0))</f>
        <v>#REF!</v>
      </c>
      <c r="C364" t="s">
        <v>634</v>
      </c>
      <c r="E364" t="s">
        <v>890</v>
      </c>
      <c r="F364">
        <v>380000</v>
      </c>
      <c r="I364" s="10">
        <v>46036</v>
      </c>
    </row>
    <row r="365" spans="1:9" x14ac:dyDescent="0.25">
      <c r="A365" t="s">
        <v>901</v>
      </c>
      <c r="B365" t="e">
        <f>INDEX(siswa!A:A,MATCH(#REF!,siswa!C:C,0))</f>
        <v>#REF!</v>
      </c>
      <c r="C365" t="s">
        <v>634</v>
      </c>
      <c r="E365" t="s">
        <v>890</v>
      </c>
      <c r="F365">
        <v>380000</v>
      </c>
      <c r="I365" s="10">
        <v>46036</v>
      </c>
    </row>
    <row r="366" spans="1:9" x14ac:dyDescent="0.25">
      <c r="A366" t="s">
        <v>902</v>
      </c>
      <c r="B366" t="e">
        <f>INDEX(siswa!A:A,MATCH(#REF!,siswa!C:C,0))</f>
        <v>#REF!</v>
      </c>
      <c r="C366" t="s">
        <v>634</v>
      </c>
      <c r="E366" t="s">
        <v>890</v>
      </c>
      <c r="F366">
        <v>380000</v>
      </c>
      <c r="I366" s="10">
        <v>46036</v>
      </c>
    </row>
    <row r="367" spans="1:9" x14ac:dyDescent="0.25">
      <c r="A367" t="s">
        <v>903</v>
      </c>
      <c r="B367" t="e">
        <f>INDEX(siswa!A:A,MATCH(#REF!,siswa!C:C,0))</f>
        <v>#REF!</v>
      </c>
      <c r="C367" t="s">
        <v>634</v>
      </c>
      <c r="E367" t="s">
        <v>890</v>
      </c>
      <c r="F367">
        <v>380000</v>
      </c>
      <c r="I367" s="10">
        <v>46036</v>
      </c>
    </row>
    <row r="368" spans="1:9" x14ac:dyDescent="0.25">
      <c r="A368" t="s">
        <v>904</v>
      </c>
      <c r="B368" t="e">
        <f>INDEX(siswa!A:A,MATCH(#REF!,siswa!C:C,0))</f>
        <v>#REF!</v>
      </c>
      <c r="C368" t="s">
        <v>634</v>
      </c>
      <c r="E368" t="s">
        <v>890</v>
      </c>
      <c r="F368">
        <v>380000</v>
      </c>
      <c r="I368" s="10">
        <v>46036</v>
      </c>
    </row>
    <row r="369" spans="1:9" x14ac:dyDescent="0.25">
      <c r="A369" t="s">
        <v>905</v>
      </c>
      <c r="B369" t="e">
        <f>INDEX(siswa!A:A,MATCH(#REF!,siswa!C:C,0))</f>
        <v>#REF!</v>
      </c>
      <c r="C369" t="s">
        <v>634</v>
      </c>
      <c r="E369" t="s">
        <v>890</v>
      </c>
      <c r="F369">
        <v>380000</v>
      </c>
      <c r="I369" s="10">
        <v>46036</v>
      </c>
    </row>
    <row r="370" spans="1:9" x14ac:dyDescent="0.25">
      <c r="A370" t="s">
        <v>906</v>
      </c>
      <c r="B370" t="e">
        <f>INDEX(siswa!A:A,MATCH(#REF!,siswa!C:C,0))</f>
        <v>#REF!</v>
      </c>
      <c r="C370" t="s">
        <v>634</v>
      </c>
      <c r="E370" t="s">
        <v>890</v>
      </c>
      <c r="F370">
        <v>380000</v>
      </c>
      <c r="I370" s="10">
        <v>46036</v>
      </c>
    </row>
    <row r="371" spans="1:9" x14ac:dyDescent="0.25">
      <c r="A371" t="s">
        <v>907</v>
      </c>
      <c r="B371" t="e">
        <f>INDEX(siswa!A:A,MATCH(#REF!,siswa!C:C,0))</f>
        <v>#REF!</v>
      </c>
      <c r="C371" t="s">
        <v>634</v>
      </c>
      <c r="E371" t="s">
        <v>890</v>
      </c>
      <c r="F371">
        <v>380000</v>
      </c>
      <c r="I371" s="10">
        <v>46036</v>
      </c>
    </row>
    <row r="372" spans="1:9" x14ac:dyDescent="0.25">
      <c r="A372" t="s">
        <v>908</v>
      </c>
      <c r="B372" t="e">
        <f>INDEX(siswa!A:A,MATCH(#REF!,siswa!C:C,0))</f>
        <v>#REF!</v>
      </c>
      <c r="C372" t="s">
        <v>634</v>
      </c>
      <c r="E372" t="s">
        <v>890</v>
      </c>
      <c r="F372">
        <v>380000</v>
      </c>
      <c r="I372" s="10">
        <v>46036</v>
      </c>
    </row>
    <row r="373" spans="1:9" x14ac:dyDescent="0.25">
      <c r="A373" t="s">
        <v>909</v>
      </c>
      <c r="B373" t="e">
        <f>INDEX(siswa!A:A,MATCH(#REF!,siswa!C:C,0))</f>
        <v>#REF!</v>
      </c>
      <c r="C373" t="s">
        <v>634</v>
      </c>
      <c r="E373" t="s">
        <v>890</v>
      </c>
      <c r="F373">
        <v>380000</v>
      </c>
      <c r="I373" s="10">
        <v>46036</v>
      </c>
    </row>
    <row r="374" spans="1:9" x14ac:dyDescent="0.25">
      <c r="A374" t="s">
        <v>910</v>
      </c>
      <c r="B374" t="e">
        <f>INDEX(siswa!A:A,MATCH(#REF!,siswa!C:C,0))</f>
        <v>#REF!</v>
      </c>
      <c r="C374" t="s">
        <v>634</v>
      </c>
      <c r="E374" t="s">
        <v>890</v>
      </c>
      <c r="F374">
        <v>380000</v>
      </c>
      <c r="I374" s="10">
        <v>46036</v>
      </c>
    </row>
    <row r="375" spans="1:9" x14ac:dyDescent="0.25">
      <c r="A375" t="s">
        <v>933</v>
      </c>
      <c r="B375" t="e">
        <f>INDEX(siswa!A:A,MATCH(#REF!,siswa!C:C,0))</f>
        <v>#REF!</v>
      </c>
      <c r="C375" t="s">
        <v>634</v>
      </c>
      <c r="E375" t="s">
        <v>890</v>
      </c>
      <c r="F375">
        <v>380000</v>
      </c>
      <c r="I375" s="10">
        <v>46036</v>
      </c>
    </row>
    <row r="376" spans="1:9" x14ac:dyDescent="0.25">
      <c r="A376" t="s">
        <v>934</v>
      </c>
      <c r="B376" t="e">
        <f>INDEX(siswa!A:A,MATCH(#REF!,siswa!C:C,0))</f>
        <v>#REF!</v>
      </c>
      <c r="C376" t="s">
        <v>966</v>
      </c>
      <c r="E376" t="s">
        <v>967</v>
      </c>
      <c r="F376">
        <v>50000</v>
      </c>
      <c r="I376" s="10">
        <v>45996</v>
      </c>
    </row>
    <row r="377" spans="1:9" x14ac:dyDescent="0.25">
      <c r="A377" t="s">
        <v>935</v>
      </c>
      <c r="B377" t="e">
        <f>INDEX(siswa!A:A,MATCH(#REF!,siswa!C:C,0))</f>
        <v>#REF!</v>
      </c>
      <c r="C377" t="s">
        <v>966</v>
      </c>
      <c r="E377" t="s">
        <v>968</v>
      </c>
      <c r="F377">
        <v>50000</v>
      </c>
      <c r="I377" s="10">
        <v>45996</v>
      </c>
    </row>
    <row r="378" spans="1:9" x14ac:dyDescent="0.25">
      <c r="A378" t="s">
        <v>936</v>
      </c>
      <c r="B378" t="e">
        <f>INDEX(siswa!A:A,MATCH(#REF!,siswa!C:C,0))</f>
        <v>#REF!</v>
      </c>
      <c r="C378" t="s">
        <v>966</v>
      </c>
      <c r="E378" t="s">
        <v>969</v>
      </c>
      <c r="F378">
        <v>50000</v>
      </c>
      <c r="I378" s="10">
        <v>45996</v>
      </c>
    </row>
    <row r="379" spans="1:9" x14ac:dyDescent="0.25">
      <c r="A379" t="s">
        <v>937</v>
      </c>
      <c r="B379" t="e">
        <f>INDEX(siswa!A:A,MATCH(#REF!,siswa!C:C,0))</f>
        <v>#REF!</v>
      </c>
      <c r="C379" t="s">
        <v>966</v>
      </c>
      <c r="E379" t="s">
        <v>970</v>
      </c>
      <c r="F379">
        <v>50000</v>
      </c>
      <c r="I379" s="10">
        <v>45996</v>
      </c>
    </row>
    <row r="380" spans="1:9" x14ac:dyDescent="0.25">
      <c r="A380" t="s">
        <v>938</v>
      </c>
      <c r="B380" t="e">
        <f>INDEX(siswa!A:A,MATCH(#REF!,siswa!C:C,0))</f>
        <v>#REF!</v>
      </c>
      <c r="C380" t="s">
        <v>966</v>
      </c>
      <c r="E380" t="s">
        <v>971</v>
      </c>
      <c r="F380">
        <v>50000</v>
      </c>
      <c r="I380" s="10">
        <v>45996</v>
      </c>
    </row>
    <row r="381" spans="1:9" x14ac:dyDescent="0.25">
      <c r="A381" t="s">
        <v>939</v>
      </c>
      <c r="B381" t="e">
        <f>INDEX(siswa!A:A,MATCH(#REF!,siswa!C:C,0))</f>
        <v>#REF!</v>
      </c>
      <c r="C381" t="s">
        <v>966</v>
      </c>
      <c r="E381" t="s">
        <v>972</v>
      </c>
      <c r="F381">
        <v>50000</v>
      </c>
      <c r="I381" s="10">
        <v>45996</v>
      </c>
    </row>
    <row r="382" spans="1:9" x14ac:dyDescent="0.25">
      <c r="A382" t="s">
        <v>940</v>
      </c>
      <c r="B382" t="e">
        <f>INDEX(siswa!A:A,MATCH(#REF!,siswa!C:C,0))</f>
        <v>#REF!</v>
      </c>
      <c r="C382" t="s">
        <v>966</v>
      </c>
      <c r="E382" t="s">
        <v>973</v>
      </c>
      <c r="F382">
        <v>50000</v>
      </c>
      <c r="I382" s="10">
        <v>45996</v>
      </c>
    </row>
    <row r="383" spans="1:9" x14ac:dyDescent="0.25">
      <c r="A383" t="s">
        <v>941</v>
      </c>
      <c r="B383" t="e">
        <f>INDEX(siswa!A:A,MATCH(#REF!,siswa!C:C,0))</f>
        <v>#REF!</v>
      </c>
      <c r="C383" t="s">
        <v>966</v>
      </c>
      <c r="E383" t="s">
        <v>974</v>
      </c>
      <c r="F383">
        <v>50000</v>
      </c>
      <c r="I383" s="10">
        <v>45996</v>
      </c>
    </row>
    <row r="384" spans="1:9" x14ac:dyDescent="0.25">
      <c r="A384" t="s">
        <v>942</v>
      </c>
      <c r="B384" t="e">
        <f>INDEX(siswa!A:A,MATCH(#REF!,siswa!C:C,0))</f>
        <v>#REF!</v>
      </c>
      <c r="C384" t="s">
        <v>966</v>
      </c>
      <c r="E384" t="s">
        <v>975</v>
      </c>
      <c r="F384">
        <v>50000</v>
      </c>
      <c r="I384" s="10">
        <v>45996</v>
      </c>
    </row>
    <row r="385" spans="1:9" x14ac:dyDescent="0.25">
      <c r="A385" t="s">
        <v>943</v>
      </c>
      <c r="B385" t="e">
        <f>INDEX(siswa!A:A,MATCH(#REF!,siswa!C:C,0))</f>
        <v>#REF!</v>
      </c>
      <c r="C385" t="s">
        <v>966</v>
      </c>
      <c r="E385" t="s">
        <v>976</v>
      </c>
      <c r="F385">
        <v>50000</v>
      </c>
      <c r="I385" s="10">
        <v>45996</v>
      </c>
    </row>
    <row r="386" spans="1:9" x14ac:dyDescent="0.25">
      <c r="A386" t="s">
        <v>944</v>
      </c>
      <c r="B386" t="e">
        <f>INDEX(siswa!A:A,MATCH(#REF!,siswa!C:C,0))</f>
        <v>#REF!</v>
      </c>
      <c r="C386" t="s">
        <v>966</v>
      </c>
      <c r="E386" t="s">
        <v>977</v>
      </c>
      <c r="F386">
        <v>50000</v>
      </c>
      <c r="I386" s="10">
        <v>45996</v>
      </c>
    </row>
    <row r="387" spans="1:9" x14ac:dyDescent="0.25">
      <c r="A387" t="s">
        <v>945</v>
      </c>
      <c r="B387" t="e">
        <f>INDEX(siswa!A:A,MATCH(#REF!,siswa!C:C,0))</f>
        <v>#REF!</v>
      </c>
      <c r="C387" t="s">
        <v>966</v>
      </c>
      <c r="E387" t="s">
        <v>978</v>
      </c>
      <c r="F387">
        <v>50000</v>
      </c>
      <c r="I387" s="10">
        <v>45996</v>
      </c>
    </row>
    <row r="388" spans="1:9" x14ac:dyDescent="0.25">
      <c r="A388" t="s">
        <v>946</v>
      </c>
      <c r="B388" t="e">
        <f>INDEX(siswa!A:A,MATCH(#REF!,siswa!C:C,0))</f>
        <v>#REF!</v>
      </c>
      <c r="C388" t="s">
        <v>966</v>
      </c>
      <c r="E388" t="s">
        <v>979</v>
      </c>
      <c r="F388">
        <v>50000</v>
      </c>
      <c r="I388" s="10">
        <v>45996</v>
      </c>
    </row>
    <row r="389" spans="1:9" x14ac:dyDescent="0.25">
      <c r="A389" t="s">
        <v>947</v>
      </c>
      <c r="B389" t="e">
        <f>INDEX(siswa!A:A,MATCH(#REF!,siswa!C:C,0))</f>
        <v>#REF!</v>
      </c>
      <c r="C389" t="s">
        <v>966</v>
      </c>
      <c r="E389" t="s">
        <v>980</v>
      </c>
      <c r="F389">
        <v>50000</v>
      </c>
      <c r="I389" s="10">
        <v>45996</v>
      </c>
    </row>
    <row r="390" spans="1:9" x14ac:dyDescent="0.25">
      <c r="A390" t="s">
        <v>948</v>
      </c>
      <c r="B390" t="e">
        <f>INDEX(siswa!A:A,MATCH(#REF!,siswa!C:C,0))</f>
        <v>#REF!</v>
      </c>
      <c r="C390" t="s">
        <v>966</v>
      </c>
      <c r="E390" t="s">
        <v>981</v>
      </c>
      <c r="F390">
        <v>50000</v>
      </c>
      <c r="I390" s="10">
        <v>45996</v>
      </c>
    </row>
    <row r="391" spans="1:9" x14ac:dyDescent="0.25">
      <c r="A391" t="s">
        <v>949</v>
      </c>
      <c r="B391" t="e">
        <f>INDEX(siswa!A:A,MATCH(#REF!,siswa!C:C,0))</f>
        <v>#REF!</v>
      </c>
      <c r="C391" t="s">
        <v>966</v>
      </c>
      <c r="E391" t="s">
        <v>982</v>
      </c>
      <c r="F391">
        <v>50000</v>
      </c>
      <c r="I391" s="10">
        <v>45996</v>
      </c>
    </row>
    <row r="392" spans="1:9" x14ac:dyDescent="0.25">
      <c r="A392" t="s">
        <v>950</v>
      </c>
      <c r="B392" t="e">
        <f>INDEX(siswa!A:A,MATCH(#REF!,siswa!C:C,0))</f>
        <v>#REF!</v>
      </c>
      <c r="C392" t="s">
        <v>966</v>
      </c>
      <c r="E392" t="s">
        <v>983</v>
      </c>
      <c r="F392">
        <v>50000</v>
      </c>
      <c r="I392" s="10">
        <v>45996</v>
      </c>
    </row>
    <row r="393" spans="1:9" x14ac:dyDescent="0.25">
      <c r="A393" t="s">
        <v>951</v>
      </c>
      <c r="B393" t="e">
        <f>INDEX(siswa!A:A,MATCH(#REF!,siswa!C:C,0))</f>
        <v>#REF!</v>
      </c>
      <c r="C393" t="s">
        <v>966</v>
      </c>
      <c r="E393" t="s">
        <v>984</v>
      </c>
      <c r="F393">
        <v>50000</v>
      </c>
      <c r="I393" s="10">
        <v>45996</v>
      </c>
    </row>
    <row r="394" spans="1:9" x14ac:dyDescent="0.25">
      <c r="A394" t="s">
        <v>952</v>
      </c>
      <c r="B394" t="e">
        <f>INDEX(siswa!A:A,MATCH(#REF!,siswa!C:C,0))</f>
        <v>#REF!</v>
      </c>
      <c r="C394" t="s">
        <v>966</v>
      </c>
      <c r="E394" t="s">
        <v>985</v>
      </c>
      <c r="F394">
        <v>50000</v>
      </c>
      <c r="I394" s="10">
        <v>45996</v>
      </c>
    </row>
    <row r="395" spans="1:9" x14ac:dyDescent="0.25">
      <c r="A395" t="s">
        <v>953</v>
      </c>
      <c r="B395" t="e">
        <f>INDEX(siswa!A:A,MATCH(#REF!,siswa!C:C,0))</f>
        <v>#REF!</v>
      </c>
      <c r="C395" t="s">
        <v>966</v>
      </c>
      <c r="E395" t="s">
        <v>986</v>
      </c>
      <c r="F395">
        <v>50000</v>
      </c>
      <c r="I395" s="10">
        <v>45996</v>
      </c>
    </row>
    <row r="396" spans="1:9" x14ac:dyDescent="0.25">
      <c r="A396" t="s">
        <v>954</v>
      </c>
      <c r="B396" t="e">
        <f>INDEX(siswa!A:A,MATCH(#REF!,siswa!C:C,0))</f>
        <v>#REF!</v>
      </c>
      <c r="C396" t="s">
        <v>966</v>
      </c>
      <c r="E396" t="s">
        <v>987</v>
      </c>
      <c r="F396">
        <v>50000</v>
      </c>
      <c r="I396" s="10">
        <v>45996</v>
      </c>
    </row>
    <row r="397" spans="1:9" x14ac:dyDescent="0.25">
      <c r="A397" t="s">
        <v>955</v>
      </c>
      <c r="B397" t="e">
        <f>INDEX(siswa!A:A,MATCH(#REF!,siswa!C:C,0))</f>
        <v>#REF!</v>
      </c>
      <c r="C397" t="s">
        <v>966</v>
      </c>
      <c r="E397" t="s">
        <v>988</v>
      </c>
      <c r="F397">
        <v>50000</v>
      </c>
      <c r="I397" s="10">
        <v>45996</v>
      </c>
    </row>
    <row r="398" spans="1:9" x14ac:dyDescent="0.25">
      <c r="A398" t="s">
        <v>956</v>
      </c>
      <c r="B398" t="e">
        <f>INDEX(siswa!A:A,MATCH(#REF!,siswa!C:C,0))</f>
        <v>#REF!</v>
      </c>
      <c r="C398" t="s">
        <v>966</v>
      </c>
      <c r="E398" t="s">
        <v>989</v>
      </c>
      <c r="F398">
        <v>50000</v>
      </c>
      <c r="I398" s="10">
        <v>45996</v>
      </c>
    </row>
    <row r="399" spans="1:9" x14ac:dyDescent="0.25">
      <c r="A399" t="s">
        <v>957</v>
      </c>
      <c r="B399" t="e">
        <f>INDEX(siswa!A:A,MATCH(#REF!,siswa!C:C,0))</f>
        <v>#REF!</v>
      </c>
      <c r="C399" t="s">
        <v>966</v>
      </c>
      <c r="E399" t="s">
        <v>990</v>
      </c>
      <c r="F399">
        <v>50000</v>
      </c>
      <c r="I399" s="10">
        <v>45996</v>
      </c>
    </row>
    <row r="400" spans="1:9" x14ac:dyDescent="0.25">
      <c r="A400" t="s">
        <v>958</v>
      </c>
      <c r="B400" t="e">
        <f>INDEX(siswa!A:A,MATCH(#REF!,siswa!C:C,0))</f>
        <v>#REF!</v>
      </c>
      <c r="C400" t="s">
        <v>966</v>
      </c>
      <c r="E400" t="s">
        <v>990</v>
      </c>
      <c r="F400">
        <v>50000</v>
      </c>
      <c r="I400" s="10">
        <v>45996</v>
      </c>
    </row>
    <row r="401" spans="1:9" x14ac:dyDescent="0.25">
      <c r="A401" t="s">
        <v>959</v>
      </c>
      <c r="B401" t="e">
        <f>INDEX(siswa!A:A,MATCH(#REF!,siswa!C:C,0))</f>
        <v>#REF!</v>
      </c>
      <c r="C401" t="s">
        <v>966</v>
      </c>
      <c r="E401" t="s">
        <v>991</v>
      </c>
      <c r="F401">
        <v>50000</v>
      </c>
      <c r="I401" s="10">
        <v>45996</v>
      </c>
    </row>
    <row r="402" spans="1:9" x14ac:dyDescent="0.25">
      <c r="A402" t="s">
        <v>960</v>
      </c>
      <c r="B402" t="e">
        <f>INDEX(siswa!A:A,MATCH(#REF!,siswa!C:C,0))</f>
        <v>#REF!</v>
      </c>
      <c r="C402" t="s">
        <v>966</v>
      </c>
      <c r="E402" t="s">
        <v>992</v>
      </c>
      <c r="F402">
        <v>50000</v>
      </c>
      <c r="I402" s="10">
        <v>45996</v>
      </c>
    </row>
    <row r="403" spans="1:9" x14ac:dyDescent="0.25">
      <c r="A403" t="s">
        <v>961</v>
      </c>
      <c r="B403" t="e">
        <f>INDEX(siswa!A:A,MATCH(#REF!,siswa!C:C,0))</f>
        <v>#REF!</v>
      </c>
      <c r="C403" t="s">
        <v>966</v>
      </c>
      <c r="E403" t="s">
        <v>993</v>
      </c>
      <c r="F403">
        <v>50000</v>
      </c>
      <c r="I403" s="10">
        <v>45996</v>
      </c>
    </row>
    <row r="404" spans="1:9" x14ac:dyDescent="0.25">
      <c r="A404" t="s">
        <v>962</v>
      </c>
      <c r="B404" t="e">
        <f>INDEX(siswa!A:A,MATCH(#REF!,siswa!C:C,0))</f>
        <v>#REF!</v>
      </c>
      <c r="C404" t="s">
        <v>966</v>
      </c>
      <c r="E404" t="s">
        <v>994</v>
      </c>
      <c r="F404">
        <v>50000</v>
      </c>
      <c r="I404" s="10">
        <v>45996</v>
      </c>
    </row>
    <row r="405" spans="1:9" x14ac:dyDescent="0.25">
      <c r="A405" t="s">
        <v>963</v>
      </c>
      <c r="B405" t="e">
        <f>INDEX(siswa!A:A,MATCH(#REF!,siswa!C:C,0))</f>
        <v>#REF!</v>
      </c>
      <c r="C405" t="s">
        <v>966</v>
      </c>
      <c r="E405" t="s">
        <v>995</v>
      </c>
      <c r="F405">
        <v>50000</v>
      </c>
      <c r="I405" s="10">
        <v>45996</v>
      </c>
    </row>
    <row r="406" spans="1:9" x14ac:dyDescent="0.25">
      <c r="A406" t="s">
        <v>964</v>
      </c>
      <c r="B406" t="e">
        <f>INDEX(siswa!A:A,MATCH(#REF!,siswa!C:C,0))</f>
        <v>#REF!</v>
      </c>
      <c r="C406" t="s">
        <v>966</v>
      </c>
      <c r="E406" t="s">
        <v>996</v>
      </c>
      <c r="F406">
        <v>50000</v>
      </c>
      <c r="I406" s="10">
        <v>45996</v>
      </c>
    </row>
    <row r="407" spans="1:9" x14ac:dyDescent="0.25">
      <c r="A407" t="s">
        <v>965</v>
      </c>
      <c r="B407" t="e">
        <f>INDEX(siswa!A:A,MATCH(#REF!,siswa!C:C,0))</f>
        <v>#REF!</v>
      </c>
      <c r="C407" t="s">
        <v>966</v>
      </c>
      <c r="E407" t="s">
        <v>997</v>
      </c>
      <c r="F407">
        <v>50000</v>
      </c>
      <c r="I407" s="10">
        <v>45996</v>
      </c>
    </row>
    <row r="408" spans="1:9" x14ac:dyDescent="0.25">
      <c r="A408" t="s">
        <v>1000</v>
      </c>
      <c r="B408" t="e">
        <f>INDEX(siswa!A:A,MATCH(#REF!,siswa!C:C,0))</f>
        <v>#REF!</v>
      </c>
      <c r="C408" t="s">
        <v>966</v>
      </c>
      <c r="E408" t="s">
        <v>998</v>
      </c>
      <c r="F408">
        <v>50000</v>
      </c>
      <c r="I408" s="10">
        <v>45996</v>
      </c>
    </row>
    <row r="409" spans="1:9" x14ac:dyDescent="0.25">
      <c r="A409" t="s">
        <v>1001</v>
      </c>
      <c r="B409" t="e">
        <f>INDEX(siswa!A:A,MATCH(#REF!,siswa!C:C,0))</f>
        <v>#REF!</v>
      </c>
      <c r="C409" t="s">
        <v>966</v>
      </c>
      <c r="E409" t="s">
        <v>999</v>
      </c>
      <c r="F409">
        <v>50000</v>
      </c>
      <c r="I409" s="10">
        <v>45996</v>
      </c>
    </row>
    <row r="410" spans="1:9" x14ac:dyDescent="0.25">
      <c r="A410" t="s">
        <v>1002</v>
      </c>
      <c r="B410" t="e">
        <f>INDEX(siswa!A:A,MATCH(#REF!,siswa!C:C,0))</f>
        <v>#REF!</v>
      </c>
      <c r="C410" t="s">
        <v>634</v>
      </c>
      <c r="E410" t="s">
        <v>1014</v>
      </c>
      <c r="F410">
        <v>22000</v>
      </c>
      <c r="I410" s="10">
        <v>45946</v>
      </c>
    </row>
    <row r="411" spans="1:9" x14ac:dyDescent="0.25">
      <c r="A411" t="s">
        <v>1003</v>
      </c>
      <c r="B411" t="e">
        <f>INDEX(siswa!A:A,MATCH(#REF!,siswa!C:C,0))</f>
        <v>#REF!</v>
      </c>
      <c r="C411" t="s">
        <v>634</v>
      </c>
      <c r="E411" t="s">
        <v>1014</v>
      </c>
      <c r="F411">
        <v>22000</v>
      </c>
      <c r="I411" s="10">
        <v>45946</v>
      </c>
    </row>
    <row r="412" spans="1:9" x14ac:dyDescent="0.25">
      <c r="A412" t="s">
        <v>1004</v>
      </c>
      <c r="B412" t="e">
        <f>INDEX(siswa!A:A,MATCH(#REF!,siswa!C:C,0))</f>
        <v>#REF!</v>
      </c>
      <c r="C412" t="s">
        <v>634</v>
      </c>
      <c r="E412" t="s">
        <v>1014</v>
      </c>
      <c r="F412">
        <v>22000</v>
      </c>
      <c r="I412" s="10">
        <v>45946</v>
      </c>
    </row>
    <row r="413" spans="1:9" x14ac:dyDescent="0.25">
      <c r="A413" t="s">
        <v>1005</v>
      </c>
      <c r="B413" t="e">
        <f>INDEX(siswa!A:A,MATCH(#REF!,siswa!C:C,0))</f>
        <v>#REF!</v>
      </c>
      <c r="C413" t="s">
        <v>634</v>
      </c>
      <c r="E413" t="s">
        <v>1014</v>
      </c>
      <c r="F413">
        <v>22000</v>
      </c>
      <c r="I413" s="10">
        <v>45946</v>
      </c>
    </row>
    <row r="414" spans="1:9" x14ac:dyDescent="0.25">
      <c r="A414" t="s">
        <v>1006</v>
      </c>
      <c r="B414" t="e">
        <f>INDEX(siswa!A:A,MATCH(#REF!,siswa!C:C,0))</f>
        <v>#REF!</v>
      </c>
      <c r="C414" t="s">
        <v>634</v>
      </c>
      <c r="E414" t="s">
        <v>1014</v>
      </c>
      <c r="F414">
        <v>22000</v>
      </c>
      <c r="I414" s="10">
        <v>45946</v>
      </c>
    </row>
    <row r="415" spans="1:9" x14ac:dyDescent="0.25">
      <c r="A415" t="s">
        <v>1007</v>
      </c>
      <c r="B415" t="e">
        <f>INDEX(siswa!A:A,MATCH(#REF!,siswa!C:C,0))</f>
        <v>#REF!</v>
      </c>
      <c r="C415" t="s">
        <v>634</v>
      </c>
      <c r="E415" t="s">
        <v>1014</v>
      </c>
      <c r="F415">
        <v>22000</v>
      </c>
      <c r="I415" s="10">
        <v>45946</v>
      </c>
    </row>
    <row r="416" spans="1:9" x14ac:dyDescent="0.25">
      <c r="A416" t="s">
        <v>1008</v>
      </c>
      <c r="B416" t="e">
        <f>INDEX(siswa!A:A,MATCH(#REF!,siswa!C:C,0))</f>
        <v>#REF!</v>
      </c>
      <c r="C416" t="s">
        <v>634</v>
      </c>
      <c r="E416" t="s">
        <v>1014</v>
      </c>
      <c r="F416">
        <v>22000</v>
      </c>
      <c r="I416" s="10">
        <v>45946</v>
      </c>
    </row>
    <row r="417" spans="1:9" x14ac:dyDescent="0.25">
      <c r="A417" t="s">
        <v>1009</v>
      </c>
      <c r="B417" t="e">
        <f>INDEX(siswa!A:A,MATCH(#REF!,siswa!C:C,0))</f>
        <v>#REF!</v>
      </c>
      <c r="C417" t="s">
        <v>634</v>
      </c>
      <c r="E417" t="s">
        <v>1014</v>
      </c>
      <c r="F417">
        <v>22000</v>
      </c>
      <c r="I417" s="10">
        <v>45946</v>
      </c>
    </row>
    <row r="418" spans="1:9" x14ac:dyDescent="0.25">
      <c r="A418" t="s">
        <v>1010</v>
      </c>
      <c r="B418" t="e">
        <f>INDEX(siswa!A:A,MATCH(#REF!,siswa!C:C,0))</f>
        <v>#REF!</v>
      </c>
      <c r="C418" t="s">
        <v>634</v>
      </c>
      <c r="E418" t="s">
        <v>1014</v>
      </c>
      <c r="F418">
        <v>22000</v>
      </c>
      <c r="I418" s="10">
        <v>45946</v>
      </c>
    </row>
    <row r="419" spans="1:9" x14ac:dyDescent="0.25">
      <c r="A419" t="s">
        <v>1011</v>
      </c>
      <c r="B419" t="e">
        <f>INDEX(siswa!A:A,MATCH(#REF!,siswa!C:C,0))</f>
        <v>#REF!</v>
      </c>
      <c r="C419" t="s">
        <v>634</v>
      </c>
      <c r="E419" t="s">
        <v>1014</v>
      </c>
      <c r="F419">
        <v>22000</v>
      </c>
      <c r="I419" s="10">
        <v>45946</v>
      </c>
    </row>
    <row r="420" spans="1:9" x14ac:dyDescent="0.25">
      <c r="A420" t="s">
        <v>1012</v>
      </c>
      <c r="B420" t="e">
        <f>INDEX(siswa!A:A,MATCH(#REF!,siswa!C:C,0))</f>
        <v>#REF!</v>
      </c>
      <c r="C420" t="s">
        <v>634</v>
      </c>
      <c r="E420" t="s">
        <v>1014</v>
      </c>
      <c r="F420">
        <v>22000</v>
      </c>
      <c r="I420" s="10">
        <v>45946</v>
      </c>
    </row>
    <row r="421" spans="1:9" x14ac:dyDescent="0.25">
      <c r="A421" t="s">
        <v>1013</v>
      </c>
      <c r="B421" t="e">
        <f>INDEX(siswa!A:A,MATCH(#REF!,siswa!C:C,0))</f>
        <v>#REF!</v>
      </c>
      <c r="C421" t="s">
        <v>634</v>
      </c>
      <c r="E421" t="s">
        <v>1014</v>
      </c>
      <c r="F421">
        <v>22000</v>
      </c>
      <c r="I421" s="10">
        <v>45946</v>
      </c>
    </row>
    <row r="422" spans="1:9" x14ac:dyDescent="0.25">
      <c r="A422" t="s">
        <v>1049</v>
      </c>
      <c r="B422" t="e">
        <f>INDEX(siswa!A:A,MATCH(#REF!,siswa!C:C,0))</f>
        <v>#REF!</v>
      </c>
      <c r="C422" t="s">
        <v>634</v>
      </c>
      <c r="E422" t="s">
        <v>1014</v>
      </c>
      <c r="F422">
        <v>22000</v>
      </c>
      <c r="I422" s="10">
        <v>45946</v>
      </c>
    </row>
    <row r="423" spans="1:9" x14ac:dyDescent="0.25">
      <c r="A423" t="s">
        <v>1064</v>
      </c>
      <c r="B423" t="e">
        <f>INDEX(siswa!A:A,MATCH(#REF!,siswa!C:C,0))</f>
        <v>#REF!</v>
      </c>
      <c r="C423" t="s">
        <v>634</v>
      </c>
      <c r="E423" t="s">
        <v>1014</v>
      </c>
      <c r="F423">
        <v>22000</v>
      </c>
      <c r="I423" s="10">
        <v>45946</v>
      </c>
    </row>
    <row r="424" spans="1:9" x14ac:dyDescent="0.25">
      <c r="A424" t="s">
        <v>1065</v>
      </c>
      <c r="B424" t="e">
        <f>INDEX(siswa!A:A,MATCH(#REF!,siswa!C:C,0))</f>
        <v>#REF!</v>
      </c>
      <c r="C424" t="s">
        <v>634</v>
      </c>
      <c r="E424" t="s">
        <v>1014</v>
      </c>
      <c r="F424">
        <v>22000</v>
      </c>
      <c r="I424" s="10">
        <v>45946</v>
      </c>
    </row>
    <row r="425" spans="1:9" x14ac:dyDescent="0.25">
      <c r="A425" t="s">
        <v>1066</v>
      </c>
      <c r="B425" t="e">
        <f>INDEX(siswa!A:A,MATCH(#REF!,siswa!C:C,0))</f>
        <v>#REF!</v>
      </c>
      <c r="C425" t="s">
        <v>634</v>
      </c>
      <c r="E425" t="s">
        <v>1014</v>
      </c>
      <c r="F425">
        <v>22000</v>
      </c>
      <c r="I425" s="10">
        <v>45946</v>
      </c>
    </row>
    <row r="426" spans="1:9" x14ac:dyDescent="0.25">
      <c r="A426" t="s">
        <v>1075</v>
      </c>
      <c r="B426" t="e">
        <f>INDEX(siswa!A:A,MATCH(#REF!,siswa!C:C,0))</f>
        <v>#REF!</v>
      </c>
      <c r="C426" t="s">
        <v>634</v>
      </c>
      <c r="E426" t="s">
        <v>1014</v>
      </c>
      <c r="F426">
        <v>22000</v>
      </c>
      <c r="I426" s="10">
        <v>45946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0"/>
  <sheetViews>
    <sheetView tabSelected="1" zoomScaleNormal="100" workbookViewId="0">
      <selection activeCell="E2" sqref="E2:E390"/>
    </sheetView>
  </sheetViews>
  <sheetFormatPr defaultColWidth="8.625" defaultRowHeight="15.75" x14ac:dyDescent="0.25"/>
  <cols>
    <col min="1" max="1" width="28.875" bestFit="1" customWidth="1"/>
    <col min="2" max="2" width="6.625" customWidth="1"/>
    <col min="3" max="3" width="22.375" bestFit="1" customWidth="1"/>
    <col min="5" max="5" width="18.625" customWidth="1"/>
    <col min="7" max="7" width="18.25" bestFit="1" customWidth="1"/>
  </cols>
  <sheetData>
    <row r="1" spans="1:8" ht="16.5" thickBot="1" x14ac:dyDescent="0.3">
      <c r="C1" t="s">
        <v>196</v>
      </c>
      <c r="D1" t="s">
        <v>177</v>
      </c>
      <c r="E1" t="s">
        <v>197</v>
      </c>
      <c r="F1" t="s">
        <v>198</v>
      </c>
      <c r="G1" t="s">
        <v>199</v>
      </c>
      <c r="H1" t="s">
        <v>200</v>
      </c>
    </row>
    <row r="2" spans="1:8" ht="16.5" thickBot="1" x14ac:dyDescent="0.3">
      <c r="A2" t="s">
        <v>21</v>
      </c>
      <c r="B2" t="s">
        <v>20</v>
      </c>
      <c r="C2" t="s">
        <v>203</v>
      </c>
      <c r="D2" t="s">
        <v>201</v>
      </c>
      <c r="E2" s="12">
        <v>45874</v>
      </c>
      <c r="F2">
        <v>230000</v>
      </c>
      <c r="G2" t="s">
        <v>202</v>
      </c>
    </row>
    <row r="3" spans="1:8" ht="16.5" thickBot="1" x14ac:dyDescent="0.3">
      <c r="A3" t="s">
        <v>21</v>
      </c>
      <c r="B3" t="s">
        <v>20</v>
      </c>
      <c r="C3" t="s">
        <v>334</v>
      </c>
      <c r="D3" t="s">
        <v>277</v>
      </c>
      <c r="E3" s="13">
        <v>45915</v>
      </c>
      <c r="F3">
        <v>230000</v>
      </c>
      <c r="G3" t="s">
        <v>202</v>
      </c>
    </row>
    <row r="4" spans="1:8" ht="16.5" thickBot="1" x14ac:dyDescent="0.3">
      <c r="A4" t="s">
        <v>21</v>
      </c>
      <c r="B4" t="s">
        <v>20</v>
      </c>
      <c r="C4" t="s">
        <v>335</v>
      </c>
      <c r="D4" t="s">
        <v>278</v>
      </c>
      <c r="E4" s="12">
        <v>45936</v>
      </c>
      <c r="F4">
        <v>230000</v>
      </c>
      <c r="G4" t="s">
        <v>202</v>
      </c>
    </row>
    <row r="5" spans="1:8" ht="16.5" thickBot="1" x14ac:dyDescent="0.3">
      <c r="A5" t="s">
        <v>21</v>
      </c>
      <c r="B5" t="s">
        <v>20</v>
      </c>
      <c r="C5" t="s">
        <v>336</v>
      </c>
      <c r="D5" t="s">
        <v>279</v>
      </c>
      <c r="E5" s="12">
        <v>45967</v>
      </c>
      <c r="F5">
        <v>230000</v>
      </c>
      <c r="G5" t="s">
        <v>202</v>
      </c>
    </row>
    <row r="6" spans="1:8" ht="16.5" thickBot="1" x14ac:dyDescent="0.3">
      <c r="A6" t="s">
        <v>21</v>
      </c>
      <c r="B6" t="s">
        <v>20</v>
      </c>
      <c r="C6" t="s">
        <v>337</v>
      </c>
      <c r="D6" t="s">
        <v>280</v>
      </c>
      <c r="E6" s="13">
        <v>46008</v>
      </c>
      <c r="F6">
        <v>230000</v>
      </c>
      <c r="G6" t="s">
        <v>631</v>
      </c>
    </row>
    <row r="7" spans="1:8" ht="16.5" thickBot="1" x14ac:dyDescent="0.3">
      <c r="A7" t="s">
        <v>21</v>
      </c>
      <c r="B7" t="s">
        <v>20</v>
      </c>
      <c r="C7" t="s">
        <v>338</v>
      </c>
      <c r="D7" t="s">
        <v>281</v>
      </c>
      <c r="E7" s="13">
        <v>46044</v>
      </c>
      <c r="F7">
        <v>230000</v>
      </c>
      <c r="G7" t="s">
        <v>631</v>
      </c>
    </row>
    <row r="8" spans="1:8" ht="16.5" thickBot="1" x14ac:dyDescent="0.3">
      <c r="A8" t="s">
        <v>21</v>
      </c>
      <c r="B8" t="s">
        <v>20</v>
      </c>
      <c r="C8" t="s">
        <v>339</v>
      </c>
      <c r="D8" t="s">
        <v>282</v>
      </c>
      <c r="E8" s="12">
        <v>46065</v>
      </c>
      <c r="F8">
        <v>230000</v>
      </c>
      <c r="G8" t="s">
        <v>631</v>
      </c>
    </row>
    <row r="9" spans="1:8" ht="16.5" thickBot="1" x14ac:dyDescent="0.3">
      <c r="A9" t="s">
        <v>21</v>
      </c>
      <c r="B9" t="s">
        <v>20</v>
      </c>
      <c r="C9" t="s">
        <v>340</v>
      </c>
      <c r="D9" t="s">
        <v>283</v>
      </c>
      <c r="E9" s="12">
        <v>46092</v>
      </c>
      <c r="F9">
        <v>230000</v>
      </c>
      <c r="G9" t="s">
        <v>202</v>
      </c>
    </row>
    <row r="10" spans="1:8" ht="16.5" thickBot="1" x14ac:dyDescent="0.3">
      <c r="A10" t="s">
        <v>21</v>
      </c>
      <c r="B10" t="s">
        <v>20</v>
      </c>
      <c r="C10" t="s">
        <v>341</v>
      </c>
      <c r="D10" t="s">
        <v>284</v>
      </c>
      <c r="E10" s="12">
        <v>46120</v>
      </c>
      <c r="F10">
        <v>230000</v>
      </c>
      <c r="G10" t="s">
        <v>202</v>
      </c>
    </row>
    <row r="11" spans="1:8" ht="16.5" thickBot="1" x14ac:dyDescent="0.3">
      <c r="A11" t="s">
        <v>30</v>
      </c>
      <c r="B11" t="s">
        <v>29</v>
      </c>
      <c r="C11" t="s">
        <v>342</v>
      </c>
      <c r="D11" t="s">
        <v>286</v>
      </c>
      <c r="E11" s="13">
        <v>45866</v>
      </c>
      <c r="F11">
        <v>230000</v>
      </c>
      <c r="G11" t="s">
        <v>202</v>
      </c>
    </row>
    <row r="12" spans="1:8" ht="16.5" thickBot="1" x14ac:dyDescent="0.3">
      <c r="A12" t="s">
        <v>30</v>
      </c>
      <c r="B12" t="s">
        <v>29</v>
      </c>
      <c r="C12" t="s">
        <v>343</v>
      </c>
      <c r="D12" t="s">
        <v>287</v>
      </c>
      <c r="E12" s="13">
        <v>45897</v>
      </c>
      <c r="F12">
        <v>230000</v>
      </c>
      <c r="G12" t="s">
        <v>202</v>
      </c>
    </row>
    <row r="13" spans="1:8" ht="16.5" thickBot="1" x14ac:dyDescent="0.3">
      <c r="A13" t="s">
        <v>30</v>
      </c>
      <c r="B13" t="s">
        <v>29</v>
      </c>
      <c r="C13" t="s">
        <v>344</v>
      </c>
      <c r="D13" t="s">
        <v>288</v>
      </c>
      <c r="E13" s="12">
        <v>45933</v>
      </c>
      <c r="F13">
        <v>230000</v>
      </c>
      <c r="G13" t="s">
        <v>202</v>
      </c>
    </row>
    <row r="14" spans="1:8" ht="16.5" thickBot="1" x14ac:dyDescent="0.3">
      <c r="A14" t="s">
        <v>30</v>
      </c>
      <c r="B14" t="s">
        <v>29</v>
      </c>
      <c r="C14" t="s">
        <v>345</v>
      </c>
      <c r="D14" t="s">
        <v>289</v>
      </c>
      <c r="E14" s="12">
        <v>45964</v>
      </c>
      <c r="F14">
        <v>230000</v>
      </c>
      <c r="G14" t="s">
        <v>202</v>
      </c>
    </row>
    <row r="15" spans="1:8" ht="16.5" thickBot="1" x14ac:dyDescent="0.3">
      <c r="A15" t="s">
        <v>30</v>
      </c>
      <c r="B15" t="s">
        <v>29</v>
      </c>
      <c r="C15" t="s">
        <v>346</v>
      </c>
      <c r="D15" t="s">
        <v>290</v>
      </c>
      <c r="E15" s="12">
        <v>45996</v>
      </c>
      <c r="F15">
        <v>230000</v>
      </c>
      <c r="G15" t="s">
        <v>202</v>
      </c>
    </row>
    <row r="16" spans="1:8" ht="16.5" thickBot="1" x14ac:dyDescent="0.3">
      <c r="A16" t="s">
        <v>30</v>
      </c>
      <c r="B16" t="s">
        <v>29</v>
      </c>
      <c r="C16" t="s">
        <v>347</v>
      </c>
      <c r="D16" t="s">
        <v>291</v>
      </c>
      <c r="E16" s="13">
        <v>46019</v>
      </c>
      <c r="F16">
        <v>230000</v>
      </c>
      <c r="G16" t="s">
        <v>202</v>
      </c>
    </row>
    <row r="17" spans="1:7" ht="16.5" thickBot="1" x14ac:dyDescent="0.3">
      <c r="A17" t="s">
        <v>30</v>
      </c>
      <c r="B17" t="s">
        <v>29</v>
      </c>
      <c r="C17" t="s">
        <v>348</v>
      </c>
      <c r="D17" t="s">
        <v>292</v>
      </c>
      <c r="E17" s="12">
        <v>46055</v>
      </c>
      <c r="F17">
        <v>230000</v>
      </c>
      <c r="G17" t="s">
        <v>202</v>
      </c>
    </row>
    <row r="18" spans="1:7" ht="16.5" thickBot="1" x14ac:dyDescent="0.3">
      <c r="A18" t="s">
        <v>30</v>
      </c>
      <c r="B18" t="s">
        <v>29</v>
      </c>
      <c r="C18" t="s">
        <v>349</v>
      </c>
      <c r="D18" t="s">
        <v>293</v>
      </c>
      <c r="E18" s="12">
        <v>46084</v>
      </c>
      <c r="F18">
        <v>230000</v>
      </c>
      <c r="G18" t="s">
        <v>202</v>
      </c>
    </row>
    <row r="19" spans="1:7" ht="16.5" thickBot="1" x14ac:dyDescent="0.3">
      <c r="A19" t="s">
        <v>30</v>
      </c>
      <c r="B19" t="s">
        <v>29</v>
      </c>
      <c r="C19" t="s">
        <v>350</v>
      </c>
      <c r="D19" t="s">
        <v>294</v>
      </c>
      <c r="E19" s="12">
        <v>46114</v>
      </c>
      <c r="F19">
        <v>230000</v>
      </c>
      <c r="G19" t="s">
        <v>202</v>
      </c>
    </row>
    <row r="20" spans="1:7" ht="16.5" thickBot="1" x14ac:dyDescent="0.3">
      <c r="A20" t="s">
        <v>35</v>
      </c>
      <c r="B20" t="s">
        <v>34</v>
      </c>
      <c r="C20" t="s">
        <v>351</v>
      </c>
      <c r="D20" t="s">
        <v>296</v>
      </c>
      <c r="E20" s="12">
        <v>45875</v>
      </c>
      <c r="F20">
        <v>230000</v>
      </c>
      <c r="G20" t="s">
        <v>202</v>
      </c>
    </row>
    <row r="21" spans="1:7" ht="16.5" thickBot="1" x14ac:dyDescent="0.3">
      <c r="A21" t="s">
        <v>35</v>
      </c>
      <c r="B21" t="s">
        <v>34</v>
      </c>
      <c r="C21" t="s">
        <v>352</v>
      </c>
      <c r="D21" t="s">
        <v>297</v>
      </c>
      <c r="E21" s="12">
        <v>45912</v>
      </c>
      <c r="F21">
        <v>230000</v>
      </c>
      <c r="G21" t="s">
        <v>202</v>
      </c>
    </row>
    <row r="22" spans="1:7" ht="16.5" thickBot="1" x14ac:dyDescent="0.3">
      <c r="A22" t="s">
        <v>35</v>
      </c>
      <c r="B22" t="s">
        <v>34</v>
      </c>
      <c r="C22" t="s">
        <v>353</v>
      </c>
      <c r="D22" t="s">
        <v>298</v>
      </c>
      <c r="E22" s="12">
        <v>45937</v>
      </c>
      <c r="F22">
        <v>230000</v>
      </c>
      <c r="G22" t="s">
        <v>202</v>
      </c>
    </row>
    <row r="23" spans="1:7" ht="16.5" thickBot="1" x14ac:dyDescent="0.3">
      <c r="A23" t="s">
        <v>35</v>
      </c>
      <c r="B23" t="s">
        <v>34</v>
      </c>
      <c r="C23" t="s">
        <v>354</v>
      </c>
      <c r="D23" t="s">
        <v>299</v>
      </c>
      <c r="E23" s="13">
        <v>45961</v>
      </c>
      <c r="F23">
        <v>230000</v>
      </c>
      <c r="G23" t="s">
        <v>202</v>
      </c>
    </row>
    <row r="24" spans="1:7" ht="16.5" thickBot="1" x14ac:dyDescent="0.3">
      <c r="A24" t="s">
        <v>35</v>
      </c>
      <c r="B24" t="s">
        <v>34</v>
      </c>
      <c r="C24" t="s">
        <v>355</v>
      </c>
      <c r="D24" t="s">
        <v>300</v>
      </c>
      <c r="E24" s="13">
        <v>46006</v>
      </c>
      <c r="F24">
        <v>230000</v>
      </c>
      <c r="G24" t="s">
        <v>202</v>
      </c>
    </row>
    <row r="25" spans="1:7" ht="16.5" thickBot="1" x14ac:dyDescent="0.3">
      <c r="A25" t="s">
        <v>35</v>
      </c>
      <c r="B25" t="s">
        <v>34</v>
      </c>
      <c r="C25" t="s">
        <v>356</v>
      </c>
      <c r="D25" t="s">
        <v>301</v>
      </c>
      <c r="E25" s="13">
        <v>46044</v>
      </c>
      <c r="F25">
        <v>230000</v>
      </c>
      <c r="G25" t="s">
        <v>202</v>
      </c>
    </row>
    <row r="26" spans="1:7" ht="16.5" thickBot="1" x14ac:dyDescent="0.3">
      <c r="A26" t="s">
        <v>35</v>
      </c>
      <c r="B26" t="s">
        <v>34</v>
      </c>
      <c r="C26" t="s">
        <v>357</v>
      </c>
      <c r="D26" t="s">
        <v>302</v>
      </c>
      <c r="E26" s="12">
        <v>46063</v>
      </c>
      <c r="F26">
        <v>230000</v>
      </c>
      <c r="G26" t="s">
        <v>202</v>
      </c>
    </row>
    <row r="27" spans="1:7" ht="16.5" thickBot="1" x14ac:dyDescent="0.3">
      <c r="A27" t="s">
        <v>35</v>
      </c>
      <c r="B27" t="s">
        <v>34</v>
      </c>
      <c r="C27" t="s">
        <v>358</v>
      </c>
      <c r="D27" t="s">
        <v>303</v>
      </c>
      <c r="E27" s="12">
        <v>46087</v>
      </c>
      <c r="F27">
        <v>230000</v>
      </c>
      <c r="G27" t="s">
        <v>202</v>
      </c>
    </row>
    <row r="28" spans="1:7" ht="16.5" thickBot="1" x14ac:dyDescent="0.3">
      <c r="A28" t="s">
        <v>35</v>
      </c>
      <c r="B28" t="s">
        <v>34</v>
      </c>
      <c r="C28" t="s">
        <v>359</v>
      </c>
      <c r="D28" t="s">
        <v>304</v>
      </c>
      <c r="E28" s="12">
        <v>46119</v>
      </c>
      <c r="F28">
        <v>230000</v>
      </c>
      <c r="G28" t="s">
        <v>202</v>
      </c>
    </row>
    <row r="29" spans="1:7" ht="16.5" thickBot="1" x14ac:dyDescent="0.3">
      <c r="A29" t="s">
        <v>44</v>
      </c>
      <c r="B29" t="s">
        <v>43</v>
      </c>
      <c r="C29" t="s">
        <v>360</v>
      </c>
      <c r="D29" t="s">
        <v>306</v>
      </c>
      <c r="E29" s="13">
        <v>45867</v>
      </c>
      <c r="F29">
        <v>230000</v>
      </c>
      <c r="G29" t="s">
        <v>202</v>
      </c>
    </row>
    <row r="30" spans="1:7" ht="16.5" thickBot="1" x14ac:dyDescent="0.3">
      <c r="A30" t="s">
        <v>44</v>
      </c>
      <c r="B30" t="s">
        <v>43</v>
      </c>
      <c r="C30" t="s">
        <v>361</v>
      </c>
      <c r="D30" t="s">
        <v>307</v>
      </c>
      <c r="E30" s="12">
        <v>45902</v>
      </c>
      <c r="F30">
        <v>230000</v>
      </c>
      <c r="G30" t="s">
        <v>631</v>
      </c>
    </row>
    <row r="31" spans="1:7" ht="16.5" thickBot="1" x14ac:dyDescent="0.3">
      <c r="A31" t="s">
        <v>44</v>
      </c>
      <c r="B31" t="s">
        <v>43</v>
      </c>
      <c r="C31" t="s">
        <v>362</v>
      </c>
      <c r="D31" t="s">
        <v>308</v>
      </c>
      <c r="E31" s="12">
        <v>45931</v>
      </c>
      <c r="F31">
        <v>230000</v>
      </c>
      <c r="G31" t="s">
        <v>202</v>
      </c>
    </row>
    <row r="32" spans="1:7" ht="16.5" thickBot="1" x14ac:dyDescent="0.3">
      <c r="A32" t="s">
        <v>44</v>
      </c>
      <c r="B32" t="s">
        <v>43</v>
      </c>
      <c r="C32" t="s">
        <v>363</v>
      </c>
      <c r="D32" t="s">
        <v>309</v>
      </c>
      <c r="E32" s="12">
        <v>45964</v>
      </c>
      <c r="F32">
        <v>230000</v>
      </c>
      <c r="G32" t="s">
        <v>631</v>
      </c>
    </row>
    <row r="33" spans="1:7" ht="16.5" thickBot="1" x14ac:dyDescent="0.3">
      <c r="A33" t="s">
        <v>44</v>
      </c>
      <c r="B33" t="s">
        <v>43</v>
      </c>
      <c r="C33" t="s">
        <v>364</v>
      </c>
      <c r="D33" t="s">
        <v>310</v>
      </c>
      <c r="E33" s="12">
        <v>45992</v>
      </c>
      <c r="F33">
        <v>230000</v>
      </c>
      <c r="G33" t="s">
        <v>631</v>
      </c>
    </row>
    <row r="34" spans="1:7" ht="16.5" thickBot="1" x14ac:dyDescent="0.3">
      <c r="A34" t="s">
        <v>44</v>
      </c>
      <c r="B34" t="s">
        <v>43</v>
      </c>
      <c r="C34" t="s">
        <v>365</v>
      </c>
      <c r="D34" t="s">
        <v>311</v>
      </c>
      <c r="E34" s="13">
        <v>46049</v>
      </c>
      <c r="F34">
        <v>230000</v>
      </c>
      <c r="G34" t="s">
        <v>202</v>
      </c>
    </row>
    <row r="35" spans="1:7" ht="16.5" thickBot="1" x14ac:dyDescent="0.3">
      <c r="A35" t="s">
        <v>44</v>
      </c>
      <c r="B35" t="s">
        <v>43</v>
      </c>
      <c r="C35" t="s">
        <v>366</v>
      </c>
      <c r="D35" t="s">
        <v>312</v>
      </c>
      <c r="E35" s="12">
        <v>46061</v>
      </c>
      <c r="F35">
        <v>230000</v>
      </c>
      <c r="G35" t="s">
        <v>202</v>
      </c>
    </row>
    <row r="36" spans="1:7" ht="16.5" thickBot="1" x14ac:dyDescent="0.3">
      <c r="A36" t="s">
        <v>44</v>
      </c>
      <c r="B36" t="s">
        <v>43</v>
      </c>
      <c r="C36" t="s">
        <v>367</v>
      </c>
      <c r="D36" t="s">
        <v>313</v>
      </c>
      <c r="E36" s="12">
        <v>46091</v>
      </c>
      <c r="F36">
        <v>230000</v>
      </c>
      <c r="G36" t="s">
        <v>202</v>
      </c>
    </row>
    <row r="37" spans="1:7" ht="16.5" thickBot="1" x14ac:dyDescent="0.3">
      <c r="A37" t="s">
        <v>44</v>
      </c>
      <c r="B37" t="s">
        <v>43</v>
      </c>
      <c r="C37" t="s">
        <v>368</v>
      </c>
      <c r="D37" t="s">
        <v>314</v>
      </c>
      <c r="E37" s="12">
        <v>46118</v>
      </c>
      <c r="F37">
        <v>230000</v>
      </c>
      <c r="G37" t="s">
        <v>202</v>
      </c>
    </row>
    <row r="38" spans="1:7" ht="16.5" thickBot="1" x14ac:dyDescent="0.3">
      <c r="A38" t="s">
        <v>48</v>
      </c>
      <c r="B38" t="s">
        <v>47</v>
      </c>
      <c r="C38" t="s">
        <v>369</v>
      </c>
      <c r="D38" t="s">
        <v>316</v>
      </c>
      <c r="E38" s="12">
        <v>45873</v>
      </c>
      <c r="F38">
        <v>230000</v>
      </c>
      <c r="G38" t="s">
        <v>202</v>
      </c>
    </row>
    <row r="39" spans="1:7" ht="16.5" thickBot="1" x14ac:dyDescent="0.3">
      <c r="A39" t="s">
        <v>48</v>
      </c>
      <c r="B39" t="s">
        <v>47</v>
      </c>
      <c r="C39" t="s">
        <v>370</v>
      </c>
      <c r="D39" t="s">
        <v>317</v>
      </c>
      <c r="E39" s="12">
        <v>45908</v>
      </c>
      <c r="F39">
        <v>230000</v>
      </c>
      <c r="G39" t="s">
        <v>202</v>
      </c>
    </row>
    <row r="40" spans="1:7" ht="16.5" thickBot="1" x14ac:dyDescent="0.3">
      <c r="A40" t="s">
        <v>48</v>
      </c>
      <c r="B40" t="s">
        <v>47</v>
      </c>
      <c r="C40" t="s">
        <v>371</v>
      </c>
      <c r="D40" t="s">
        <v>318</v>
      </c>
      <c r="E40" s="12">
        <v>45933</v>
      </c>
      <c r="F40">
        <v>230000</v>
      </c>
      <c r="G40" t="s">
        <v>202</v>
      </c>
    </row>
    <row r="41" spans="1:7" ht="16.5" thickBot="1" x14ac:dyDescent="0.3">
      <c r="A41" t="s">
        <v>48</v>
      </c>
      <c r="B41" t="s">
        <v>47</v>
      </c>
      <c r="C41" t="s">
        <v>372</v>
      </c>
      <c r="D41" t="s">
        <v>319</v>
      </c>
      <c r="E41" s="12">
        <v>45970</v>
      </c>
      <c r="F41">
        <v>230000</v>
      </c>
      <c r="G41" t="s">
        <v>202</v>
      </c>
    </row>
    <row r="42" spans="1:7" ht="16.5" thickBot="1" x14ac:dyDescent="0.3">
      <c r="A42" t="s">
        <v>48</v>
      </c>
      <c r="B42" t="s">
        <v>47</v>
      </c>
      <c r="C42" t="s">
        <v>373</v>
      </c>
      <c r="D42" t="s">
        <v>320</v>
      </c>
      <c r="E42" s="13">
        <v>46006</v>
      </c>
      <c r="F42">
        <v>230000</v>
      </c>
      <c r="G42" t="s">
        <v>202</v>
      </c>
    </row>
    <row r="43" spans="1:7" ht="16.5" thickBot="1" x14ac:dyDescent="0.3">
      <c r="A43" t="s">
        <v>55</v>
      </c>
      <c r="B43" t="s">
        <v>54</v>
      </c>
      <c r="C43" t="s">
        <v>374</v>
      </c>
      <c r="D43" t="s">
        <v>322</v>
      </c>
      <c r="E43" s="12">
        <v>45874</v>
      </c>
      <c r="F43">
        <v>220000</v>
      </c>
      <c r="G43" t="s">
        <v>202</v>
      </c>
    </row>
    <row r="44" spans="1:7" ht="16.5" thickBot="1" x14ac:dyDescent="0.3">
      <c r="A44" t="s">
        <v>55</v>
      </c>
      <c r="B44" t="s">
        <v>54</v>
      </c>
      <c r="C44" t="s">
        <v>375</v>
      </c>
      <c r="D44" t="s">
        <v>323</v>
      </c>
      <c r="E44" s="12">
        <v>45904</v>
      </c>
      <c r="F44">
        <v>220000</v>
      </c>
      <c r="G44" t="s">
        <v>202</v>
      </c>
    </row>
    <row r="45" spans="1:7" ht="16.5" thickBot="1" x14ac:dyDescent="0.3">
      <c r="A45" t="s">
        <v>55</v>
      </c>
      <c r="B45" t="s">
        <v>54</v>
      </c>
      <c r="C45" t="s">
        <v>376</v>
      </c>
      <c r="D45" t="s">
        <v>324</v>
      </c>
      <c r="E45" s="12">
        <v>45933</v>
      </c>
      <c r="F45">
        <v>220000</v>
      </c>
      <c r="G45" t="s">
        <v>202</v>
      </c>
    </row>
    <row r="46" spans="1:7" ht="16.5" thickBot="1" x14ac:dyDescent="0.3">
      <c r="A46" t="s">
        <v>55</v>
      </c>
      <c r="B46" t="s">
        <v>54</v>
      </c>
      <c r="C46" t="s">
        <v>377</v>
      </c>
      <c r="D46" t="s">
        <v>325</v>
      </c>
      <c r="E46" s="12">
        <v>45965</v>
      </c>
      <c r="F46">
        <v>220000</v>
      </c>
      <c r="G46" t="s">
        <v>202</v>
      </c>
    </row>
    <row r="47" spans="1:7" ht="16.5" thickBot="1" x14ac:dyDescent="0.3">
      <c r="A47" t="s">
        <v>55</v>
      </c>
      <c r="B47" t="s">
        <v>54</v>
      </c>
      <c r="C47" t="s">
        <v>378</v>
      </c>
      <c r="D47" t="s">
        <v>326</v>
      </c>
      <c r="E47" s="12">
        <v>45995</v>
      </c>
      <c r="F47">
        <v>220000</v>
      </c>
      <c r="G47" t="s">
        <v>202</v>
      </c>
    </row>
    <row r="48" spans="1:7" ht="16.5" thickBot="1" x14ac:dyDescent="0.3">
      <c r="A48" t="s">
        <v>55</v>
      </c>
      <c r="B48" t="s">
        <v>54</v>
      </c>
      <c r="C48" t="s">
        <v>379</v>
      </c>
      <c r="D48" t="s">
        <v>327</v>
      </c>
      <c r="E48" s="12">
        <v>46027</v>
      </c>
      <c r="F48">
        <v>220000</v>
      </c>
      <c r="G48" t="s">
        <v>202</v>
      </c>
    </row>
    <row r="49" spans="1:7" ht="16.5" thickBot="1" x14ac:dyDescent="0.3">
      <c r="A49" t="s">
        <v>55</v>
      </c>
      <c r="B49" t="s">
        <v>54</v>
      </c>
      <c r="C49" t="s">
        <v>380</v>
      </c>
      <c r="D49" t="s">
        <v>328</v>
      </c>
      <c r="E49" s="12">
        <v>46059</v>
      </c>
      <c r="F49">
        <v>220000</v>
      </c>
      <c r="G49" t="s">
        <v>202</v>
      </c>
    </row>
    <row r="50" spans="1:7" ht="16.5" thickBot="1" x14ac:dyDescent="0.3">
      <c r="A50" t="s">
        <v>55</v>
      </c>
      <c r="B50" t="s">
        <v>54</v>
      </c>
      <c r="C50" t="s">
        <v>381</v>
      </c>
      <c r="D50" t="s">
        <v>329</v>
      </c>
      <c r="E50" s="12">
        <v>46083</v>
      </c>
      <c r="F50">
        <v>220000</v>
      </c>
      <c r="G50" t="s">
        <v>202</v>
      </c>
    </row>
    <row r="51" spans="1:7" ht="16.5" thickBot="1" x14ac:dyDescent="0.3">
      <c r="A51" t="s">
        <v>55</v>
      </c>
      <c r="B51" t="s">
        <v>54</v>
      </c>
      <c r="C51" t="s">
        <v>382</v>
      </c>
      <c r="D51" t="s">
        <v>330</v>
      </c>
      <c r="E51" s="12">
        <v>46118</v>
      </c>
      <c r="F51">
        <v>220000</v>
      </c>
      <c r="G51" t="s">
        <v>202</v>
      </c>
    </row>
    <row r="52" spans="1:7" ht="16.5" thickBot="1" x14ac:dyDescent="0.3">
      <c r="A52" t="s">
        <v>59</v>
      </c>
      <c r="B52" t="s">
        <v>58</v>
      </c>
      <c r="C52" t="s">
        <v>382</v>
      </c>
      <c r="D52" t="s">
        <v>331</v>
      </c>
      <c r="E52" s="13">
        <v>45857</v>
      </c>
      <c r="F52">
        <v>230000</v>
      </c>
      <c r="G52" t="s">
        <v>202</v>
      </c>
    </row>
    <row r="53" spans="1:7" ht="16.5" thickBot="1" x14ac:dyDescent="0.3">
      <c r="A53" t="s">
        <v>59</v>
      </c>
      <c r="B53" t="s">
        <v>58</v>
      </c>
      <c r="C53" t="s">
        <v>383</v>
      </c>
      <c r="D53" t="s">
        <v>332</v>
      </c>
      <c r="E53" s="12">
        <v>45880</v>
      </c>
      <c r="F53">
        <v>230000</v>
      </c>
      <c r="G53" t="s">
        <v>202</v>
      </c>
    </row>
    <row r="54" spans="1:7" ht="16.5" thickBot="1" x14ac:dyDescent="0.3">
      <c r="A54" t="s">
        <v>59</v>
      </c>
      <c r="B54" t="s">
        <v>58</v>
      </c>
      <c r="C54" t="s">
        <v>384</v>
      </c>
      <c r="D54" t="s">
        <v>333</v>
      </c>
      <c r="E54" s="12">
        <v>45910</v>
      </c>
      <c r="F54">
        <v>230000</v>
      </c>
      <c r="G54" t="s">
        <v>202</v>
      </c>
    </row>
    <row r="55" spans="1:7" ht="16.5" thickBot="1" x14ac:dyDescent="0.3">
      <c r="A55" t="s">
        <v>59</v>
      </c>
      <c r="B55" t="s">
        <v>58</v>
      </c>
      <c r="C55" t="s">
        <v>385</v>
      </c>
      <c r="D55" t="s">
        <v>636</v>
      </c>
      <c r="E55" s="13">
        <v>45950</v>
      </c>
      <c r="F55">
        <v>230000</v>
      </c>
      <c r="G55" t="s">
        <v>202</v>
      </c>
    </row>
    <row r="56" spans="1:7" ht="16.5" thickBot="1" x14ac:dyDescent="0.3">
      <c r="A56" t="s">
        <v>59</v>
      </c>
      <c r="B56" t="s">
        <v>58</v>
      </c>
      <c r="C56" t="s">
        <v>386</v>
      </c>
      <c r="D56" t="s">
        <v>637</v>
      </c>
      <c r="E56" s="12">
        <v>45971</v>
      </c>
      <c r="F56">
        <v>230000</v>
      </c>
      <c r="G56" t="s">
        <v>202</v>
      </c>
    </row>
    <row r="57" spans="1:7" ht="16.5" thickBot="1" x14ac:dyDescent="0.3">
      <c r="A57" t="s">
        <v>59</v>
      </c>
      <c r="B57" t="s">
        <v>58</v>
      </c>
      <c r="C57" t="s">
        <v>387</v>
      </c>
      <c r="D57" t="s">
        <v>638</v>
      </c>
      <c r="E57" s="12">
        <v>46001</v>
      </c>
      <c r="F57">
        <v>230000</v>
      </c>
      <c r="G57" t="s">
        <v>202</v>
      </c>
    </row>
    <row r="58" spans="1:7" ht="16.5" thickBot="1" x14ac:dyDescent="0.3">
      <c r="A58" t="s">
        <v>59</v>
      </c>
      <c r="B58" t="s">
        <v>58</v>
      </c>
      <c r="C58" t="s">
        <v>388</v>
      </c>
      <c r="D58" t="s">
        <v>639</v>
      </c>
      <c r="E58" s="13">
        <v>46043</v>
      </c>
      <c r="F58">
        <v>230000</v>
      </c>
      <c r="G58" t="s">
        <v>202</v>
      </c>
    </row>
    <row r="59" spans="1:7" ht="16.5" thickBot="1" x14ac:dyDescent="0.3">
      <c r="A59" t="s">
        <v>59</v>
      </c>
      <c r="B59" t="s">
        <v>58</v>
      </c>
      <c r="C59" t="s">
        <v>389</v>
      </c>
      <c r="D59" t="s">
        <v>640</v>
      </c>
      <c r="E59" s="12">
        <v>46057</v>
      </c>
      <c r="F59">
        <v>230000</v>
      </c>
      <c r="G59" t="s">
        <v>202</v>
      </c>
    </row>
    <row r="60" spans="1:7" ht="16.5" thickBot="1" x14ac:dyDescent="0.3">
      <c r="A60" t="s">
        <v>59</v>
      </c>
      <c r="B60" t="s">
        <v>58</v>
      </c>
      <c r="C60" t="s">
        <v>390</v>
      </c>
      <c r="D60" t="s">
        <v>641</v>
      </c>
      <c r="E60" s="12">
        <v>46087</v>
      </c>
      <c r="F60">
        <v>230000</v>
      </c>
      <c r="G60" t="s">
        <v>202</v>
      </c>
    </row>
    <row r="61" spans="1:7" ht="16.5" thickBot="1" x14ac:dyDescent="0.3">
      <c r="A61" t="s">
        <v>59</v>
      </c>
      <c r="B61" t="s">
        <v>58</v>
      </c>
      <c r="C61" t="s">
        <v>391</v>
      </c>
      <c r="D61" t="s">
        <v>642</v>
      </c>
      <c r="E61" s="12">
        <v>46120</v>
      </c>
      <c r="F61">
        <v>230000</v>
      </c>
      <c r="G61" t="s">
        <v>202</v>
      </c>
    </row>
    <row r="62" spans="1:7" ht="16.5" thickBot="1" x14ac:dyDescent="0.3">
      <c r="A62" t="s">
        <v>63</v>
      </c>
      <c r="B62" t="s">
        <v>62</v>
      </c>
      <c r="C62" t="s">
        <v>392</v>
      </c>
      <c r="D62" t="s">
        <v>644</v>
      </c>
      <c r="E62" s="12">
        <v>45872</v>
      </c>
      <c r="F62">
        <v>230000</v>
      </c>
      <c r="G62" t="s">
        <v>202</v>
      </c>
    </row>
    <row r="63" spans="1:7" ht="16.5" thickBot="1" x14ac:dyDescent="0.3">
      <c r="A63" t="s">
        <v>63</v>
      </c>
      <c r="B63" t="s">
        <v>62</v>
      </c>
      <c r="C63" t="s">
        <v>393</v>
      </c>
      <c r="D63" t="s">
        <v>645</v>
      </c>
      <c r="E63" s="12">
        <v>45908</v>
      </c>
      <c r="F63">
        <v>230000</v>
      </c>
      <c r="G63" t="s">
        <v>202</v>
      </c>
    </row>
    <row r="64" spans="1:7" ht="16.5" thickBot="1" x14ac:dyDescent="0.3">
      <c r="A64" t="s">
        <v>63</v>
      </c>
      <c r="B64" t="s">
        <v>62</v>
      </c>
      <c r="C64" t="s">
        <v>394</v>
      </c>
      <c r="D64" t="s">
        <v>646</v>
      </c>
      <c r="E64" s="12">
        <v>45933</v>
      </c>
      <c r="F64">
        <v>230000</v>
      </c>
      <c r="G64" t="s">
        <v>202</v>
      </c>
    </row>
    <row r="65" spans="1:7" ht="16.5" thickBot="1" x14ac:dyDescent="0.3">
      <c r="A65" t="s">
        <v>63</v>
      </c>
      <c r="B65" t="s">
        <v>62</v>
      </c>
      <c r="C65" t="s">
        <v>395</v>
      </c>
      <c r="D65" t="s">
        <v>647</v>
      </c>
      <c r="E65" s="12">
        <v>45964</v>
      </c>
      <c r="F65">
        <v>230000</v>
      </c>
      <c r="G65" t="s">
        <v>202</v>
      </c>
    </row>
    <row r="66" spans="1:7" ht="16.5" thickBot="1" x14ac:dyDescent="0.3">
      <c r="A66" t="s">
        <v>63</v>
      </c>
      <c r="B66" t="s">
        <v>62</v>
      </c>
      <c r="C66" t="s">
        <v>396</v>
      </c>
      <c r="D66" t="s">
        <v>648</v>
      </c>
      <c r="E66" s="12">
        <v>46002</v>
      </c>
      <c r="F66">
        <v>230000</v>
      </c>
      <c r="G66" t="s">
        <v>202</v>
      </c>
    </row>
    <row r="67" spans="1:7" ht="16.5" thickBot="1" x14ac:dyDescent="0.3">
      <c r="A67" t="s">
        <v>68</v>
      </c>
      <c r="B67" t="s">
        <v>67</v>
      </c>
      <c r="C67" t="s">
        <v>397</v>
      </c>
      <c r="D67" t="s">
        <v>650</v>
      </c>
      <c r="E67" s="12">
        <v>45873</v>
      </c>
      <c r="F67">
        <v>230000</v>
      </c>
      <c r="G67" t="s">
        <v>202</v>
      </c>
    </row>
    <row r="68" spans="1:7" ht="16.5" thickBot="1" x14ac:dyDescent="0.3">
      <c r="A68" t="s">
        <v>68</v>
      </c>
      <c r="B68" t="s">
        <v>67</v>
      </c>
      <c r="C68" t="s">
        <v>398</v>
      </c>
      <c r="D68" t="s">
        <v>651</v>
      </c>
      <c r="E68" s="12">
        <v>45909</v>
      </c>
      <c r="F68">
        <v>230000</v>
      </c>
      <c r="G68" t="s">
        <v>202</v>
      </c>
    </row>
    <row r="69" spans="1:7" ht="16.5" thickBot="1" x14ac:dyDescent="0.3">
      <c r="A69" t="s">
        <v>68</v>
      </c>
      <c r="B69" t="s">
        <v>67</v>
      </c>
      <c r="C69" t="s">
        <v>399</v>
      </c>
      <c r="D69" t="s">
        <v>652</v>
      </c>
      <c r="E69" s="12">
        <v>45938</v>
      </c>
      <c r="F69">
        <v>230000</v>
      </c>
      <c r="G69" t="s">
        <v>202</v>
      </c>
    </row>
    <row r="70" spans="1:7" ht="16.5" thickBot="1" x14ac:dyDescent="0.3">
      <c r="A70" t="s">
        <v>68</v>
      </c>
      <c r="B70" t="s">
        <v>67</v>
      </c>
      <c r="C70" t="s">
        <v>400</v>
      </c>
      <c r="D70" t="s">
        <v>220</v>
      </c>
      <c r="E70" s="12">
        <v>45971</v>
      </c>
      <c r="F70">
        <v>230000</v>
      </c>
      <c r="G70" t="s">
        <v>202</v>
      </c>
    </row>
    <row r="71" spans="1:7" ht="16.5" thickBot="1" x14ac:dyDescent="0.3">
      <c r="A71" t="s">
        <v>68</v>
      </c>
      <c r="B71" t="s">
        <v>67</v>
      </c>
      <c r="C71" t="s">
        <v>401</v>
      </c>
      <c r="D71" t="s">
        <v>221</v>
      </c>
      <c r="E71" s="12">
        <v>46001</v>
      </c>
      <c r="F71">
        <v>230000</v>
      </c>
      <c r="G71" t="s">
        <v>202</v>
      </c>
    </row>
    <row r="72" spans="1:7" ht="16.5" thickBot="1" x14ac:dyDescent="0.3">
      <c r="A72" t="s">
        <v>68</v>
      </c>
      <c r="B72" t="s">
        <v>67</v>
      </c>
      <c r="C72" t="s">
        <v>402</v>
      </c>
      <c r="D72" t="s">
        <v>222</v>
      </c>
      <c r="E72" s="12">
        <v>46027</v>
      </c>
      <c r="F72">
        <v>230000</v>
      </c>
      <c r="G72" t="s">
        <v>202</v>
      </c>
    </row>
    <row r="73" spans="1:7" ht="16.5" thickBot="1" x14ac:dyDescent="0.3">
      <c r="A73" t="s">
        <v>72</v>
      </c>
      <c r="B73" t="s">
        <v>71</v>
      </c>
      <c r="C73" t="s">
        <v>403</v>
      </c>
      <c r="D73" t="s">
        <v>223</v>
      </c>
      <c r="E73" s="12">
        <v>46063</v>
      </c>
      <c r="F73">
        <v>230000</v>
      </c>
      <c r="G73" t="s">
        <v>202</v>
      </c>
    </row>
    <row r="74" spans="1:7" ht="16.5" thickBot="1" x14ac:dyDescent="0.3">
      <c r="A74" t="s">
        <v>76</v>
      </c>
      <c r="B74" t="s">
        <v>75</v>
      </c>
      <c r="C74" t="s">
        <v>404</v>
      </c>
      <c r="D74" t="s">
        <v>224</v>
      </c>
      <c r="E74" s="12">
        <v>46091</v>
      </c>
      <c r="F74">
        <v>230000</v>
      </c>
      <c r="G74" t="s">
        <v>202</v>
      </c>
    </row>
    <row r="75" spans="1:7" ht="16.5" thickBot="1" x14ac:dyDescent="0.3">
      <c r="A75" t="s">
        <v>80</v>
      </c>
      <c r="B75" t="s">
        <v>79</v>
      </c>
      <c r="C75" t="s">
        <v>405</v>
      </c>
      <c r="D75" t="s">
        <v>225</v>
      </c>
      <c r="E75" s="13" t="s">
        <v>1074</v>
      </c>
      <c r="F75">
        <v>230000</v>
      </c>
      <c r="G75" t="s">
        <v>202</v>
      </c>
    </row>
    <row r="76" spans="1:7" x14ac:dyDescent="0.25">
      <c r="A76" t="s">
        <v>76</v>
      </c>
      <c r="B76" t="s">
        <v>75</v>
      </c>
      <c r="C76" t="s">
        <v>406</v>
      </c>
      <c r="D76" t="s">
        <v>236</v>
      </c>
      <c r="E76" s="14">
        <v>220000</v>
      </c>
      <c r="F76">
        <v>220000</v>
      </c>
      <c r="G76" t="s">
        <v>202</v>
      </c>
    </row>
    <row r="77" spans="1:7" x14ac:dyDescent="0.25">
      <c r="A77" t="s">
        <v>76</v>
      </c>
      <c r="B77" t="s">
        <v>75</v>
      </c>
      <c r="C77" t="s">
        <v>407</v>
      </c>
      <c r="D77" t="s">
        <v>237</v>
      </c>
      <c r="E77" s="14">
        <v>220000</v>
      </c>
      <c r="F77">
        <v>220000</v>
      </c>
      <c r="G77" t="s">
        <v>202</v>
      </c>
    </row>
    <row r="78" spans="1:7" x14ac:dyDescent="0.25">
      <c r="A78" t="s">
        <v>76</v>
      </c>
      <c r="B78" t="s">
        <v>75</v>
      </c>
      <c r="C78" t="s">
        <v>408</v>
      </c>
      <c r="D78" t="s">
        <v>654</v>
      </c>
      <c r="E78" s="14">
        <v>220000</v>
      </c>
      <c r="F78">
        <v>220000</v>
      </c>
      <c r="G78" t="s">
        <v>202</v>
      </c>
    </row>
    <row r="79" spans="1:7" x14ac:dyDescent="0.25">
      <c r="A79" t="s">
        <v>76</v>
      </c>
      <c r="B79" t="s">
        <v>75</v>
      </c>
      <c r="C79" t="s">
        <v>409</v>
      </c>
      <c r="D79" t="s">
        <v>238</v>
      </c>
      <c r="E79" s="14">
        <v>220000</v>
      </c>
      <c r="F79">
        <v>220000</v>
      </c>
      <c r="G79" t="s">
        <v>202</v>
      </c>
    </row>
    <row r="80" spans="1:7" x14ac:dyDescent="0.25">
      <c r="A80" t="s">
        <v>76</v>
      </c>
      <c r="B80" t="s">
        <v>75</v>
      </c>
      <c r="C80" t="s">
        <v>410</v>
      </c>
      <c r="D80" t="s">
        <v>239</v>
      </c>
      <c r="E80" s="14">
        <v>220000</v>
      </c>
      <c r="F80">
        <v>220000</v>
      </c>
      <c r="G80" t="s">
        <v>202</v>
      </c>
    </row>
    <row r="81" spans="1:7" x14ac:dyDescent="0.25">
      <c r="A81" t="s">
        <v>76</v>
      </c>
      <c r="B81" t="s">
        <v>75</v>
      </c>
      <c r="C81" t="s">
        <v>411</v>
      </c>
      <c r="D81" t="s">
        <v>240</v>
      </c>
      <c r="E81" s="14">
        <v>220000</v>
      </c>
      <c r="F81">
        <v>220000</v>
      </c>
      <c r="G81" t="s">
        <v>202</v>
      </c>
    </row>
    <row r="82" spans="1:7" x14ac:dyDescent="0.25">
      <c r="A82" t="s">
        <v>76</v>
      </c>
      <c r="B82" t="s">
        <v>75</v>
      </c>
      <c r="C82" t="s">
        <v>412</v>
      </c>
      <c r="D82" t="s">
        <v>241</v>
      </c>
      <c r="E82" s="14">
        <v>220000</v>
      </c>
      <c r="F82">
        <v>220000</v>
      </c>
      <c r="G82" t="s">
        <v>202</v>
      </c>
    </row>
    <row r="83" spans="1:7" x14ac:dyDescent="0.25">
      <c r="A83" t="s">
        <v>76</v>
      </c>
      <c r="B83" t="s">
        <v>75</v>
      </c>
      <c r="C83" t="s">
        <v>413</v>
      </c>
      <c r="D83" t="s">
        <v>242</v>
      </c>
      <c r="E83" s="14">
        <v>220000</v>
      </c>
      <c r="F83">
        <v>220000</v>
      </c>
      <c r="G83" t="s">
        <v>202</v>
      </c>
    </row>
    <row r="84" spans="1:7" ht="16.5" thickBot="1" x14ac:dyDescent="0.3">
      <c r="A84" t="s">
        <v>76</v>
      </c>
      <c r="B84" t="s">
        <v>75</v>
      </c>
      <c r="C84" t="s">
        <v>414</v>
      </c>
      <c r="D84" t="s">
        <v>243</v>
      </c>
      <c r="E84" s="14">
        <v>220000</v>
      </c>
      <c r="F84">
        <v>220000</v>
      </c>
      <c r="G84" t="s">
        <v>202</v>
      </c>
    </row>
    <row r="85" spans="1:7" ht="16.5" thickBot="1" x14ac:dyDescent="0.3">
      <c r="A85" t="s">
        <v>80</v>
      </c>
      <c r="B85" t="s">
        <v>79</v>
      </c>
      <c r="C85" t="s">
        <v>415</v>
      </c>
      <c r="D85" t="s">
        <v>245</v>
      </c>
      <c r="E85" s="12">
        <v>45873</v>
      </c>
      <c r="F85">
        <v>230000</v>
      </c>
      <c r="G85" t="s">
        <v>202</v>
      </c>
    </row>
    <row r="86" spans="1:7" ht="16.5" thickBot="1" x14ac:dyDescent="0.3">
      <c r="A86" t="s">
        <v>80</v>
      </c>
      <c r="B86" t="s">
        <v>79</v>
      </c>
      <c r="C86" t="s">
        <v>416</v>
      </c>
      <c r="D86" t="s">
        <v>246</v>
      </c>
      <c r="E86" s="12">
        <v>45902</v>
      </c>
      <c r="F86">
        <v>230000</v>
      </c>
      <c r="G86" t="s">
        <v>202</v>
      </c>
    </row>
    <row r="87" spans="1:7" ht="16.5" thickBot="1" x14ac:dyDescent="0.3">
      <c r="A87" t="s">
        <v>80</v>
      </c>
      <c r="B87" t="s">
        <v>79</v>
      </c>
      <c r="C87" t="s">
        <v>417</v>
      </c>
      <c r="D87" t="s">
        <v>655</v>
      </c>
      <c r="E87" s="13">
        <v>45951</v>
      </c>
      <c r="F87">
        <v>230000</v>
      </c>
      <c r="G87" t="s">
        <v>202</v>
      </c>
    </row>
    <row r="88" spans="1:7" ht="16.5" thickBot="1" x14ac:dyDescent="0.3">
      <c r="A88" t="s">
        <v>80</v>
      </c>
      <c r="B88" t="s">
        <v>79</v>
      </c>
      <c r="C88" t="s">
        <v>418</v>
      </c>
      <c r="D88" t="s">
        <v>247</v>
      </c>
      <c r="E88" s="12">
        <v>45964</v>
      </c>
      <c r="F88">
        <v>230000</v>
      </c>
      <c r="G88" t="s">
        <v>202</v>
      </c>
    </row>
    <row r="89" spans="1:7" ht="16.5" thickBot="1" x14ac:dyDescent="0.3">
      <c r="A89" t="s">
        <v>80</v>
      </c>
      <c r="B89" t="s">
        <v>79</v>
      </c>
      <c r="C89" t="s">
        <v>419</v>
      </c>
      <c r="D89" t="s">
        <v>656</v>
      </c>
      <c r="E89" s="12">
        <v>46000</v>
      </c>
      <c r="F89">
        <v>230000</v>
      </c>
      <c r="G89" t="s">
        <v>202</v>
      </c>
    </row>
    <row r="90" spans="1:7" ht="16.5" thickBot="1" x14ac:dyDescent="0.3">
      <c r="A90" t="s">
        <v>80</v>
      </c>
      <c r="B90" t="s">
        <v>79</v>
      </c>
      <c r="C90" t="s">
        <v>420</v>
      </c>
      <c r="D90" t="s">
        <v>657</v>
      </c>
      <c r="E90" s="12">
        <v>46027</v>
      </c>
      <c r="F90">
        <v>230000</v>
      </c>
      <c r="G90" t="s">
        <v>202</v>
      </c>
    </row>
    <row r="91" spans="1:7" ht="16.5" thickBot="1" x14ac:dyDescent="0.3">
      <c r="A91" t="s">
        <v>80</v>
      </c>
      <c r="B91" t="s">
        <v>79</v>
      </c>
      <c r="C91" t="s">
        <v>421</v>
      </c>
      <c r="D91" t="s">
        <v>658</v>
      </c>
      <c r="E91" s="12">
        <v>46055</v>
      </c>
      <c r="F91">
        <v>230000</v>
      </c>
      <c r="G91" t="s">
        <v>202</v>
      </c>
    </row>
    <row r="92" spans="1:7" ht="16.5" thickBot="1" x14ac:dyDescent="0.3">
      <c r="A92" t="s">
        <v>80</v>
      </c>
      <c r="B92" t="s">
        <v>79</v>
      </c>
      <c r="C92" t="s">
        <v>422</v>
      </c>
      <c r="D92" t="s">
        <v>659</v>
      </c>
      <c r="E92" s="12">
        <v>46086</v>
      </c>
      <c r="F92">
        <v>230000</v>
      </c>
      <c r="G92" t="s">
        <v>202</v>
      </c>
    </row>
    <row r="93" spans="1:7" ht="16.5" thickBot="1" x14ac:dyDescent="0.3">
      <c r="A93" t="s">
        <v>80</v>
      </c>
      <c r="B93" t="s">
        <v>79</v>
      </c>
      <c r="C93" t="s">
        <v>423</v>
      </c>
      <c r="D93" t="s">
        <v>660</v>
      </c>
      <c r="E93" s="12">
        <v>46118</v>
      </c>
      <c r="F93">
        <v>230000</v>
      </c>
      <c r="G93" t="s">
        <v>202</v>
      </c>
    </row>
    <row r="94" spans="1:7" ht="16.5" thickBot="1" x14ac:dyDescent="0.3">
      <c r="A94" t="s">
        <v>84</v>
      </c>
      <c r="B94" t="s">
        <v>83</v>
      </c>
      <c r="C94" t="s">
        <v>424</v>
      </c>
      <c r="D94" t="s">
        <v>662</v>
      </c>
      <c r="E94" s="12">
        <v>45870</v>
      </c>
      <c r="F94">
        <v>230000</v>
      </c>
      <c r="G94" t="s">
        <v>202</v>
      </c>
    </row>
    <row r="95" spans="1:7" ht="16.5" thickBot="1" x14ac:dyDescent="0.3">
      <c r="A95" t="s">
        <v>84</v>
      </c>
      <c r="B95" t="s">
        <v>83</v>
      </c>
      <c r="C95" t="s">
        <v>425</v>
      </c>
      <c r="D95" t="s">
        <v>663</v>
      </c>
      <c r="E95" s="12">
        <v>45903</v>
      </c>
      <c r="F95">
        <v>230000</v>
      </c>
      <c r="G95" t="s">
        <v>202</v>
      </c>
    </row>
    <row r="96" spans="1:7" ht="16.5" thickBot="1" x14ac:dyDescent="0.3">
      <c r="A96" t="s">
        <v>84</v>
      </c>
      <c r="B96" t="s">
        <v>83</v>
      </c>
      <c r="C96" t="s">
        <v>426</v>
      </c>
      <c r="D96" t="s">
        <v>664</v>
      </c>
      <c r="E96" s="12">
        <v>45939</v>
      </c>
      <c r="F96">
        <v>230000</v>
      </c>
      <c r="G96" t="s">
        <v>202</v>
      </c>
    </row>
    <row r="97" spans="1:7" ht="16.5" thickBot="1" x14ac:dyDescent="0.3">
      <c r="A97" t="s">
        <v>84</v>
      </c>
      <c r="B97" t="s">
        <v>83</v>
      </c>
      <c r="C97" t="s">
        <v>427</v>
      </c>
      <c r="D97" t="s">
        <v>248</v>
      </c>
      <c r="E97" s="13">
        <v>45975</v>
      </c>
      <c r="F97">
        <v>230000</v>
      </c>
      <c r="G97" t="s">
        <v>202</v>
      </c>
    </row>
    <row r="98" spans="1:7" ht="16.5" thickBot="1" x14ac:dyDescent="0.3">
      <c r="A98" t="s">
        <v>84</v>
      </c>
      <c r="B98" t="s">
        <v>83</v>
      </c>
      <c r="C98" t="s">
        <v>428</v>
      </c>
      <c r="D98" t="s">
        <v>249</v>
      </c>
      <c r="E98" s="13">
        <v>46017</v>
      </c>
      <c r="F98">
        <v>230000</v>
      </c>
      <c r="G98" t="s">
        <v>202</v>
      </c>
    </row>
    <row r="99" spans="1:7" ht="16.5" thickBot="1" x14ac:dyDescent="0.3">
      <c r="A99" t="s">
        <v>84</v>
      </c>
      <c r="B99" t="s">
        <v>83</v>
      </c>
      <c r="C99" t="s">
        <v>429</v>
      </c>
      <c r="D99" t="s">
        <v>250</v>
      </c>
      <c r="E99" s="12">
        <v>46033</v>
      </c>
      <c r="F99">
        <v>230000</v>
      </c>
      <c r="G99" t="s">
        <v>202</v>
      </c>
    </row>
    <row r="100" spans="1:7" ht="16.5" thickBot="1" x14ac:dyDescent="0.3">
      <c r="A100" t="s">
        <v>84</v>
      </c>
      <c r="B100" t="s">
        <v>83</v>
      </c>
      <c r="C100" t="s">
        <v>430</v>
      </c>
      <c r="D100" t="s">
        <v>251</v>
      </c>
      <c r="E100" s="13">
        <v>46048</v>
      </c>
      <c r="F100">
        <v>230000</v>
      </c>
      <c r="G100" t="s">
        <v>202</v>
      </c>
    </row>
    <row r="101" spans="1:7" ht="16.5" thickBot="1" x14ac:dyDescent="0.3">
      <c r="A101" t="s">
        <v>84</v>
      </c>
      <c r="B101" t="s">
        <v>83</v>
      </c>
      <c r="C101" t="s">
        <v>431</v>
      </c>
      <c r="D101" t="s">
        <v>252</v>
      </c>
      <c r="E101" s="13">
        <v>46048</v>
      </c>
      <c r="F101">
        <v>230000</v>
      </c>
      <c r="G101" t="s">
        <v>202</v>
      </c>
    </row>
    <row r="102" spans="1:7" ht="16.5" thickBot="1" x14ac:dyDescent="0.3">
      <c r="A102" t="s">
        <v>84</v>
      </c>
      <c r="B102" t="s">
        <v>83</v>
      </c>
      <c r="C102" t="s">
        <v>432</v>
      </c>
      <c r="D102" t="s">
        <v>253</v>
      </c>
      <c r="E102" s="12">
        <v>46122</v>
      </c>
      <c r="F102">
        <v>230000</v>
      </c>
      <c r="G102" t="s">
        <v>202</v>
      </c>
    </row>
    <row r="103" spans="1:7" ht="16.5" thickBot="1" x14ac:dyDescent="0.3">
      <c r="A103" t="s">
        <v>84</v>
      </c>
      <c r="B103" t="s">
        <v>83</v>
      </c>
      <c r="C103" t="s">
        <v>433</v>
      </c>
      <c r="D103" t="s">
        <v>254</v>
      </c>
      <c r="E103" s="12">
        <v>46143</v>
      </c>
      <c r="F103">
        <v>230000</v>
      </c>
      <c r="G103" t="s">
        <v>202</v>
      </c>
    </row>
    <row r="104" spans="1:7" ht="16.5" thickBot="1" x14ac:dyDescent="0.3">
      <c r="A104" t="s">
        <v>84</v>
      </c>
      <c r="B104" t="s">
        <v>83</v>
      </c>
      <c r="C104" t="s">
        <v>434</v>
      </c>
      <c r="D104" t="s">
        <v>255</v>
      </c>
      <c r="E104" s="12">
        <v>46143</v>
      </c>
      <c r="F104">
        <v>230000</v>
      </c>
      <c r="G104" t="s">
        <v>202</v>
      </c>
    </row>
    <row r="105" spans="1:7" ht="16.5" thickBot="1" x14ac:dyDescent="0.3">
      <c r="A105" t="s">
        <v>88</v>
      </c>
      <c r="B105" t="s">
        <v>87</v>
      </c>
      <c r="C105" t="s">
        <v>435</v>
      </c>
      <c r="D105" t="s">
        <v>665</v>
      </c>
      <c r="E105" s="12">
        <v>45903</v>
      </c>
      <c r="F105">
        <v>230000</v>
      </c>
      <c r="G105" t="s">
        <v>202</v>
      </c>
    </row>
    <row r="106" spans="1:7" ht="16.5" thickBot="1" x14ac:dyDescent="0.3">
      <c r="A106" t="s">
        <v>88</v>
      </c>
      <c r="B106" t="s">
        <v>87</v>
      </c>
      <c r="C106" t="s">
        <v>436</v>
      </c>
      <c r="D106" t="s">
        <v>666</v>
      </c>
      <c r="E106" s="13">
        <v>45958</v>
      </c>
      <c r="F106">
        <v>230000</v>
      </c>
      <c r="G106" t="s">
        <v>202</v>
      </c>
    </row>
    <row r="107" spans="1:7" ht="16.5" thickBot="1" x14ac:dyDescent="0.3">
      <c r="A107" t="s">
        <v>88</v>
      </c>
      <c r="B107" t="s">
        <v>87</v>
      </c>
      <c r="C107" t="s">
        <v>437</v>
      </c>
      <c r="D107" t="s">
        <v>256</v>
      </c>
      <c r="E107" s="12">
        <v>45966</v>
      </c>
      <c r="F107">
        <v>230000</v>
      </c>
      <c r="G107" t="s">
        <v>202</v>
      </c>
    </row>
    <row r="108" spans="1:7" ht="16.5" thickBot="1" x14ac:dyDescent="0.3">
      <c r="A108" t="s">
        <v>88</v>
      </c>
      <c r="B108" t="s">
        <v>87</v>
      </c>
      <c r="C108" t="s">
        <v>438</v>
      </c>
      <c r="D108" t="s">
        <v>257</v>
      </c>
      <c r="E108" s="12">
        <v>45839</v>
      </c>
      <c r="F108">
        <v>230000</v>
      </c>
      <c r="G108" t="s">
        <v>202</v>
      </c>
    </row>
    <row r="109" spans="1:7" ht="16.5" thickBot="1" x14ac:dyDescent="0.3">
      <c r="A109" t="s">
        <v>88</v>
      </c>
      <c r="B109" t="s">
        <v>87</v>
      </c>
      <c r="C109" t="s">
        <v>439</v>
      </c>
      <c r="D109" t="s">
        <v>258</v>
      </c>
      <c r="E109" s="12">
        <v>45992</v>
      </c>
      <c r="F109">
        <v>230000</v>
      </c>
      <c r="G109" t="s">
        <v>202</v>
      </c>
    </row>
    <row r="110" spans="1:7" ht="16.5" thickBot="1" x14ac:dyDescent="0.3">
      <c r="A110" t="s">
        <v>88</v>
      </c>
      <c r="B110" t="s">
        <v>87</v>
      </c>
      <c r="C110" t="s">
        <v>440</v>
      </c>
      <c r="D110" t="s">
        <v>259</v>
      </c>
      <c r="E110" s="12">
        <v>46087</v>
      </c>
      <c r="F110">
        <v>230000</v>
      </c>
      <c r="G110" t="s">
        <v>202</v>
      </c>
    </row>
    <row r="111" spans="1:7" ht="16.5" thickBot="1" x14ac:dyDescent="0.3">
      <c r="A111" t="s">
        <v>92</v>
      </c>
      <c r="B111" t="s">
        <v>91</v>
      </c>
      <c r="C111" t="s">
        <v>441</v>
      </c>
      <c r="D111" t="s">
        <v>261</v>
      </c>
      <c r="E111" s="12">
        <v>45876</v>
      </c>
      <c r="F111">
        <v>230000</v>
      </c>
      <c r="G111" t="s">
        <v>202</v>
      </c>
    </row>
    <row r="112" spans="1:7" ht="16.5" thickBot="1" x14ac:dyDescent="0.3">
      <c r="A112" t="s">
        <v>92</v>
      </c>
      <c r="B112" t="s">
        <v>91</v>
      </c>
      <c r="C112" t="s">
        <v>442</v>
      </c>
      <c r="D112" t="s">
        <v>667</v>
      </c>
      <c r="E112" s="12">
        <v>45904</v>
      </c>
      <c r="F112">
        <v>230000</v>
      </c>
      <c r="G112" t="s">
        <v>202</v>
      </c>
    </row>
    <row r="113" spans="1:7" ht="16.5" thickBot="1" x14ac:dyDescent="0.3">
      <c r="A113" t="s">
        <v>92</v>
      </c>
      <c r="B113" t="s">
        <v>91</v>
      </c>
      <c r="C113" t="s">
        <v>443</v>
      </c>
      <c r="D113" t="s">
        <v>262</v>
      </c>
      <c r="E113" s="13">
        <v>45944</v>
      </c>
      <c r="F113">
        <v>230000</v>
      </c>
      <c r="G113" t="s">
        <v>202</v>
      </c>
    </row>
    <row r="114" spans="1:7" ht="16.5" thickBot="1" x14ac:dyDescent="0.3">
      <c r="A114" t="s">
        <v>92</v>
      </c>
      <c r="B114" t="s">
        <v>91</v>
      </c>
      <c r="C114" t="s">
        <v>444</v>
      </c>
      <c r="D114" t="s">
        <v>263</v>
      </c>
      <c r="E114" s="12">
        <v>45970</v>
      </c>
      <c r="F114">
        <v>230000</v>
      </c>
      <c r="G114" t="s">
        <v>202</v>
      </c>
    </row>
    <row r="115" spans="1:7" ht="16.5" thickBot="1" x14ac:dyDescent="0.3">
      <c r="A115" t="s">
        <v>92</v>
      </c>
      <c r="B115" t="s">
        <v>91</v>
      </c>
      <c r="C115" t="s">
        <v>445</v>
      </c>
      <c r="D115" t="s">
        <v>264</v>
      </c>
      <c r="E115" s="12">
        <v>46001</v>
      </c>
      <c r="F115">
        <v>230000</v>
      </c>
      <c r="G115" t="s">
        <v>202</v>
      </c>
    </row>
    <row r="116" spans="1:7" ht="16.5" thickBot="1" x14ac:dyDescent="0.3">
      <c r="A116" t="s">
        <v>92</v>
      </c>
      <c r="B116" t="s">
        <v>91</v>
      </c>
      <c r="C116" t="s">
        <v>446</v>
      </c>
      <c r="D116" t="s">
        <v>265</v>
      </c>
      <c r="E116" s="13">
        <v>46045</v>
      </c>
      <c r="F116">
        <v>230000</v>
      </c>
      <c r="G116" t="s">
        <v>202</v>
      </c>
    </row>
    <row r="117" spans="1:7" ht="16.5" thickBot="1" x14ac:dyDescent="0.3">
      <c r="A117" t="s">
        <v>92</v>
      </c>
      <c r="B117" t="s">
        <v>91</v>
      </c>
      <c r="C117" t="s">
        <v>447</v>
      </c>
      <c r="D117" t="s">
        <v>266</v>
      </c>
      <c r="E117" s="13">
        <v>46071</v>
      </c>
      <c r="F117">
        <v>230000</v>
      </c>
      <c r="G117" t="s">
        <v>202</v>
      </c>
    </row>
    <row r="118" spans="1:7" ht="16.5" thickBot="1" x14ac:dyDescent="0.3">
      <c r="A118" t="s">
        <v>92</v>
      </c>
      <c r="B118" t="s">
        <v>91</v>
      </c>
      <c r="C118" t="s">
        <v>448</v>
      </c>
      <c r="D118" t="s">
        <v>267</v>
      </c>
      <c r="E118" s="12">
        <v>46086</v>
      </c>
      <c r="F118">
        <v>230000</v>
      </c>
      <c r="G118" t="s">
        <v>202</v>
      </c>
    </row>
    <row r="119" spans="1:7" ht="16.5" thickBot="1" x14ac:dyDescent="0.3">
      <c r="A119" t="s">
        <v>92</v>
      </c>
      <c r="B119" t="s">
        <v>91</v>
      </c>
      <c r="C119" t="s">
        <v>449</v>
      </c>
      <c r="D119" t="s">
        <v>268</v>
      </c>
      <c r="E119" s="14">
        <v>46121</v>
      </c>
      <c r="F119">
        <v>230000</v>
      </c>
      <c r="G119" t="s">
        <v>202</v>
      </c>
    </row>
    <row r="120" spans="1:7" ht="16.5" thickBot="1" x14ac:dyDescent="0.3">
      <c r="A120" t="s">
        <v>96</v>
      </c>
      <c r="B120" t="s">
        <v>95</v>
      </c>
      <c r="C120" t="s">
        <v>450</v>
      </c>
      <c r="D120" t="s">
        <v>668</v>
      </c>
      <c r="E120" s="13">
        <v>45861</v>
      </c>
      <c r="F120">
        <v>220000</v>
      </c>
      <c r="G120" t="s">
        <v>202</v>
      </c>
    </row>
    <row r="121" spans="1:7" ht="16.5" thickBot="1" x14ac:dyDescent="0.3">
      <c r="A121" t="s">
        <v>96</v>
      </c>
      <c r="B121" t="s">
        <v>95</v>
      </c>
      <c r="C121" t="s">
        <v>451</v>
      </c>
      <c r="D121" t="s">
        <v>669</v>
      </c>
      <c r="E121" s="13">
        <v>45900</v>
      </c>
      <c r="F121">
        <v>220000</v>
      </c>
      <c r="G121" t="s">
        <v>202</v>
      </c>
    </row>
    <row r="122" spans="1:7" ht="16.5" thickBot="1" x14ac:dyDescent="0.3">
      <c r="A122" t="s">
        <v>96</v>
      </c>
      <c r="B122" t="s">
        <v>95</v>
      </c>
      <c r="C122" t="s">
        <v>452</v>
      </c>
      <c r="D122" t="s">
        <v>270</v>
      </c>
      <c r="E122" s="13">
        <v>45800</v>
      </c>
      <c r="F122">
        <v>220000</v>
      </c>
      <c r="G122" t="s">
        <v>202</v>
      </c>
    </row>
    <row r="123" spans="1:7" ht="16.5" thickBot="1" x14ac:dyDescent="0.3">
      <c r="A123" t="s">
        <v>96</v>
      </c>
      <c r="B123" t="s">
        <v>95</v>
      </c>
      <c r="C123" t="s">
        <v>453</v>
      </c>
      <c r="D123" t="s">
        <v>271</v>
      </c>
      <c r="E123" s="13">
        <v>45924</v>
      </c>
      <c r="F123">
        <v>220000</v>
      </c>
      <c r="G123" t="s">
        <v>202</v>
      </c>
    </row>
    <row r="124" spans="1:7" ht="16.5" thickBot="1" x14ac:dyDescent="0.3">
      <c r="A124" t="s">
        <v>96</v>
      </c>
      <c r="B124" t="s">
        <v>95</v>
      </c>
      <c r="C124" t="s">
        <v>454</v>
      </c>
      <c r="D124" t="s">
        <v>272</v>
      </c>
      <c r="E124" s="13">
        <v>45959</v>
      </c>
      <c r="F124">
        <v>220000</v>
      </c>
      <c r="G124" t="s">
        <v>202</v>
      </c>
    </row>
    <row r="125" spans="1:7" ht="16.5" thickBot="1" x14ac:dyDescent="0.3">
      <c r="A125" t="s">
        <v>96</v>
      </c>
      <c r="B125" t="s">
        <v>95</v>
      </c>
      <c r="C125" t="s">
        <v>455</v>
      </c>
      <c r="D125" t="s">
        <v>273</v>
      </c>
      <c r="E125" s="13">
        <v>46020</v>
      </c>
      <c r="F125">
        <v>220000</v>
      </c>
      <c r="G125" t="s">
        <v>202</v>
      </c>
    </row>
    <row r="126" spans="1:7" ht="16.5" thickBot="1" x14ac:dyDescent="0.3">
      <c r="A126" t="s">
        <v>96</v>
      </c>
      <c r="B126" t="s">
        <v>95</v>
      </c>
      <c r="C126" t="s">
        <v>456</v>
      </c>
      <c r="D126" t="s">
        <v>274</v>
      </c>
      <c r="E126" s="13">
        <v>46051</v>
      </c>
      <c r="F126">
        <v>220000</v>
      </c>
      <c r="G126" t="s">
        <v>202</v>
      </c>
    </row>
    <row r="127" spans="1:7" ht="16.5" thickBot="1" x14ac:dyDescent="0.3">
      <c r="A127" t="s">
        <v>96</v>
      </c>
      <c r="B127" t="s">
        <v>95</v>
      </c>
      <c r="C127" t="s">
        <v>457</v>
      </c>
      <c r="D127" t="s">
        <v>275</v>
      </c>
      <c r="E127" s="13">
        <v>46080</v>
      </c>
      <c r="F127">
        <v>220000</v>
      </c>
      <c r="G127" t="s">
        <v>202</v>
      </c>
    </row>
    <row r="128" spans="1:7" ht="16.5" thickBot="1" x14ac:dyDescent="0.3">
      <c r="A128" t="s">
        <v>96</v>
      </c>
      <c r="B128" t="s">
        <v>95</v>
      </c>
      <c r="C128" t="s">
        <v>458</v>
      </c>
      <c r="D128" t="s">
        <v>276</v>
      </c>
      <c r="E128" s="13">
        <v>46080</v>
      </c>
      <c r="F128">
        <v>220000</v>
      </c>
      <c r="G128" t="s">
        <v>202</v>
      </c>
    </row>
    <row r="129" spans="1:7" ht="16.5" thickBot="1" x14ac:dyDescent="0.3">
      <c r="A129" t="s">
        <v>96</v>
      </c>
      <c r="B129" t="s">
        <v>95</v>
      </c>
      <c r="C129" t="s">
        <v>459</v>
      </c>
      <c r="D129" t="s">
        <v>670</v>
      </c>
      <c r="E129" s="13">
        <v>46125</v>
      </c>
      <c r="F129">
        <v>220000</v>
      </c>
      <c r="G129" t="s">
        <v>202</v>
      </c>
    </row>
    <row r="130" spans="1:7" ht="16.5" thickBot="1" x14ac:dyDescent="0.3">
      <c r="A130" t="s">
        <v>96</v>
      </c>
      <c r="B130" t="s">
        <v>95</v>
      </c>
      <c r="C130" t="s">
        <v>460</v>
      </c>
      <c r="D130" t="s">
        <v>671</v>
      </c>
      <c r="E130" s="13">
        <v>46125</v>
      </c>
      <c r="F130">
        <v>220000</v>
      </c>
      <c r="G130" t="s">
        <v>202</v>
      </c>
    </row>
    <row r="131" spans="1:7" ht="16.5" thickBot="1" x14ac:dyDescent="0.3">
      <c r="A131" t="s">
        <v>100</v>
      </c>
      <c r="B131" t="s">
        <v>99</v>
      </c>
      <c r="C131" t="s">
        <v>461</v>
      </c>
      <c r="D131" t="s">
        <v>673</v>
      </c>
      <c r="E131" s="12">
        <v>45875</v>
      </c>
      <c r="F131">
        <v>230000</v>
      </c>
      <c r="G131" t="s">
        <v>202</v>
      </c>
    </row>
    <row r="132" spans="1:7" ht="16.5" thickBot="1" x14ac:dyDescent="0.3">
      <c r="A132" t="s">
        <v>100</v>
      </c>
      <c r="B132" t="s">
        <v>99</v>
      </c>
      <c r="C132" t="s">
        <v>462</v>
      </c>
      <c r="D132" t="s">
        <v>674</v>
      </c>
      <c r="E132" s="12">
        <v>45902</v>
      </c>
      <c r="F132">
        <v>230000</v>
      </c>
      <c r="G132" t="s">
        <v>202</v>
      </c>
    </row>
    <row r="133" spans="1:7" ht="16.5" thickBot="1" x14ac:dyDescent="0.3">
      <c r="A133" t="s">
        <v>100</v>
      </c>
      <c r="B133" t="s">
        <v>99</v>
      </c>
      <c r="C133" t="s">
        <v>463</v>
      </c>
      <c r="D133" t="s">
        <v>675</v>
      </c>
      <c r="E133" s="12">
        <v>45932</v>
      </c>
      <c r="F133">
        <v>230000</v>
      </c>
      <c r="G133" t="s">
        <v>202</v>
      </c>
    </row>
    <row r="134" spans="1:7" ht="16.5" thickBot="1" x14ac:dyDescent="0.3">
      <c r="A134" t="s">
        <v>100</v>
      </c>
      <c r="B134" t="s">
        <v>99</v>
      </c>
      <c r="C134" t="s">
        <v>464</v>
      </c>
      <c r="D134" t="s">
        <v>676</v>
      </c>
      <c r="E134" s="12">
        <v>45966</v>
      </c>
      <c r="F134">
        <v>230000</v>
      </c>
      <c r="G134" t="s">
        <v>202</v>
      </c>
    </row>
    <row r="135" spans="1:7" ht="16.5" thickBot="1" x14ac:dyDescent="0.3">
      <c r="A135" t="s">
        <v>100</v>
      </c>
      <c r="B135" t="s">
        <v>99</v>
      </c>
      <c r="C135" t="s">
        <v>465</v>
      </c>
      <c r="D135" t="s">
        <v>677</v>
      </c>
      <c r="E135" s="12">
        <v>45993</v>
      </c>
      <c r="F135">
        <v>230000</v>
      </c>
      <c r="G135" t="s">
        <v>202</v>
      </c>
    </row>
    <row r="136" spans="1:7" ht="16.5" thickBot="1" x14ac:dyDescent="0.3">
      <c r="A136" t="s">
        <v>100</v>
      </c>
      <c r="B136" t="s">
        <v>99</v>
      </c>
      <c r="C136" t="s">
        <v>466</v>
      </c>
      <c r="D136" t="s">
        <v>678</v>
      </c>
      <c r="E136" s="12">
        <v>46027</v>
      </c>
      <c r="F136">
        <v>230000</v>
      </c>
      <c r="G136" t="s">
        <v>202</v>
      </c>
    </row>
    <row r="137" spans="1:7" ht="16.5" thickBot="1" x14ac:dyDescent="0.3">
      <c r="A137" t="s">
        <v>100</v>
      </c>
      <c r="B137" t="s">
        <v>99</v>
      </c>
      <c r="C137" t="s">
        <v>467</v>
      </c>
      <c r="D137" t="s">
        <v>679</v>
      </c>
      <c r="E137" s="12">
        <v>46055</v>
      </c>
      <c r="F137">
        <v>230000</v>
      </c>
      <c r="G137" t="s">
        <v>202</v>
      </c>
    </row>
    <row r="138" spans="1:7" ht="16.5" thickBot="1" x14ac:dyDescent="0.3">
      <c r="A138" t="s">
        <v>100</v>
      </c>
      <c r="B138" t="s">
        <v>99</v>
      </c>
      <c r="C138" t="s">
        <v>468</v>
      </c>
      <c r="D138" t="s">
        <v>680</v>
      </c>
      <c r="E138" s="12">
        <v>46083</v>
      </c>
      <c r="F138">
        <v>230000</v>
      </c>
      <c r="G138" t="s">
        <v>202</v>
      </c>
    </row>
    <row r="139" spans="1:7" ht="16.5" thickBot="1" x14ac:dyDescent="0.3">
      <c r="A139" t="s">
        <v>100</v>
      </c>
      <c r="B139" t="s">
        <v>99</v>
      </c>
      <c r="C139" t="s">
        <v>469</v>
      </c>
      <c r="D139" t="s">
        <v>681</v>
      </c>
      <c r="E139" s="12">
        <v>46113</v>
      </c>
      <c r="F139">
        <v>230000</v>
      </c>
      <c r="G139" t="s">
        <v>202</v>
      </c>
    </row>
    <row r="140" spans="1:7" ht="16.5" thickBot="1" x14ac:dyDescent="0.3">
      <c r="A140" t="s">
        <v>100</v>
      </c>
      <c r="B140" t="s">
        <v>99</v>
      </c>
      <c r="C140" t="s">
        <v>470</v>
      </c>
      <c r="D140" t="s">
        <v>682</v>
      </c>
      <c r="E140" s="13">
        <v>46142</v>
      </c>
      <c r="F140">
        <v>230000</v>
      </c>
      <c r="G140" t="s">
        <v>202</v>
      </c>
    </row>
    <row r="141" spans="1:7" ht="16.5" thickBot="1" x14ac:dyDescent="0.3">
      <c r="A141" t="s">
        <v>104</v>
      </c>
      <c r="B141" t="s">
        <v>103</v>
      </c>
      <c r="C141" t="s">
        <v>471</v>
      </c>
      <c r="D141" t="s">
        <v>684</v>
      </c>
      <c r="E141" s="12">
        <v>45875</v>
      </c>
      <c r="F141">
        <v>230000</v>
      </c>
      <c r="G141" t="s">
        <v>202</v>
      </c>
    </row>
    <row r="142" spans="1:7" ht="16.5" thickBot="1" x14ac:dyDescent="0.3">
      <c r="A142" t="s">
        <v>104</v>
      </c>
      <c r="B142" t="s">
        <v>103</v>
      </c>
      <c r="C142" t="s">
        <v>472</v>
      </c>
      <c r="D142" t="s">
        <v>685</v>
      </c>
      <c r="E142" s="12">
        <v>45902</v>
      </c>
      <c r="F142">
        <v>230000</v>
      </c>
      <c r="G142" t="s">
        <v>202</v>
      </c>
    </row>
    <row r="143" spans="1:7" ht="16.5" thickBot="1" x14ac:dyDescent="0.3">
      <c r="A143" t="s">
        <v>104</v>
      </c>
      <c r="B143" t="s">
        <v>103</v>
      </c>
      <c r="C143" t="s">
        <v>473</v>
      </c>
      <c r="D143" t="s">
        <v>686</v>
      </c>
      <c r="E143" s="12">
        <v>45932</v>
      </c>
      <c r="F143">
        <v>230000</v>
      </c>
      <c r="G143" t="s">
        <v>202</v>
      </c>
    </row>
    <row r="144" spans="1:7" ht="16.5" thickBot="1" x14ac:dyDescent="0.3">
      <c r="A144" t="s">
        <v>104</v>
      </c>
      <c r="B144" t="s">
        <v>103</v>
      </c>
      <c r="C144" t="s">
        <v>474</v>
      </c>
      <c r="D144" t="s">
        <v>687</v>
      </c>
      <c r="E144" s="12">
        <v>45966</v>
      </c>
      <c r="F144">
        <v>230000</v>
      </c>
      <c r="G144" t="s">
        <v>202</v>
      </c>
    </row>
    <row r="145" spans="1:7" ht="16.5" thickBot="1" x14ac:dyDescent="0.3">
      <c r="A145" t="s">
        <v>104</v>
      </c>
      <c r="B145" t="s">
        <v>103</v>
      </c>
      <c r="C145" t="s">
        <v>475</v>
      </c>
      <c r="D145" t="s">
        <v>688</v>
      </c>
      <c r="E145" s="12">
        <v>45993</v>
      </c>
      <c r="F145">
        <v>230000</v>
      </c>
      <c r="G145" t="s">
        <v>202</v>
      </c>
    </row>
    <row r="146" spans="1:7" ht="16.5" thickBot="1" x14ac:dyDescent="0.3">
      <c r="A146" t="s">
        <v>104</v>
      </c>
      <c r="B146" t="s">
        <v>103</v>
      </c>
      <c r="C146" t="s">
        <v>476</v>
      </c>
      <c r="D146" t="s">
        <v>689</v>
      </c>
      <c r="E146" s="12">
        <v>46027</v>
      </c>
      <c r="F146">
        <v>230000</v>
      </c>
      <c r="G146" t="s">
        <v>202</v>
      </c>
    </row>
    <row r="147" spans="1:7" ht="16.5" thickBot="1" x14ac:dyDescent="0.3">
      <c r="A147" t="s">
        <v>104</v>
      </c>
      <c r="B147" t="s">
        <v>103</v>
      </c>
      <c r="C147" t="s">
        <v>477</v>
      </c>
      <c r="D147" t="s">
        <v>690</v>
      </c>
      <c r="E147" s="12">
        <v>46055</v>
      </c>
      <c r="F147">
        <v>230000</v>
      </c>
      <c r="G147" t="s">
        <v>202</v>
      </c>
    </row>
    <row r="148" spans="1:7" ht="16.5" thickBot="1" x14ac:dyDescent="0.3">
      <c r="A148" t="s">
        <v>104</v>
      </c>
      <c r="B148" t="s">
        <v>103</v>
      </c>
      <c r="C148" t="s">
        <v>478</v>
      </c>
      <c r="D148" t="s">
        <v>691</v>
      </c>
      <c r="E148" s="12">
        <v>46083</v>
      </c>
      <c r="F148">
        <v>230000</v>
      </c>
      <c r="G148" t="s">
        <v>202</v>
      </c>
    </row>
    <row r="149" spans="1:7" ht="16.5" thickBot="1" x14ac:dyDescent="0.3">
      <c r="A149" t="s">
        <v>104</v>
      </c>
      <c r="B149" t="s">
        <v>103</v>
      </c>
      <c r="C149" t="s">
        <v>479</v>
      </c>
      <c r="D149" t="s">
        <v>692</v>
      </c>
      <c r="E149" s="12">
        <v>46113</v>
      </c>
      <c r="F149">
        <v>230000</v>
      </c>
      <c r="G149" t="s">
        <v>202</v>
      </c>
    </row>
    <row r="150" spans="1:7" ht="16.5" thickBot="1" x14ac:dyDescent="0.3">
      <c r="A150" t="s">
        <v>104</v>
      </c>
      <c r="B150" t="s">
        <v>103</v>
      </c>
      <c r="C150" t="s">
        <v>480</v>
      </c>
      <c r="D150" t="s">
        <v>693</v>
      </c>
      <c r="E150" s="13">
        <v>46142</v>
      </c>
      <c r="F150">
        <v>230000</v>
      </c>
      <c r="G150" t="s">
        <v>202</v>
      </c>
    </row>
    <row r="151" spans="1:7" ht="16.5" thickBot="1" x14ac:dyDescent="0.3">
      <c r="A151" t="s">
        <v>106</v>
      </c>
      <c r="B151" t="s">
        <v>105</v>
      </c>
      <c r="C151" t="s">
        <v>481</v>
      </c>
      <c r="D151" t="s">
        <v>695</v>
      </c>
      <c r="E151" s="12">
        <v>45873</v>
      </c>
      <c r="F151">
        <v>230000</v>
      </c>
      <c r="G151" t="s">
        <v>202</v>
      </c>
    </row>
    <row r="152" spans="1:7" ht="16.5" thickBot="1" x14ac:dyDescent="0.3">
      <c r="A152" t="s">
        <v>106</v>
      </c>
      <c r="B152" t="s">
        <v>105</v>
      </c>
      <c r="C152" t="s">
        <v>482</v>
      </c>
      <c r="D152" t="s">
        <v>696</v>
      </c>
      <c r="E152" s="13">
        <v>45889</v>
      </c>
      <c r="F152">
        <v>230000</v>
      </c>
      <c r="G152" t="s">
        <v>202</v>
      </c>
    </row>
    <row r="153" spans="1:7" ht="16.5" thickBot="1" x14ac:dyDescent="0.3">
      <c r="A153" t="s">
        <v>106</v>
      </c>
      <c r="B153" t="s">
        <v>105</v>
      </c>
      <c r="C153" t="s">
        <v>483</v>
      </c>
      <c r="D153" t="s">
        <v>697</v>
      </c>
      <c r="E153" s="12">
        <v>45932</v>
      </c>
      <c r="F153">
        <v>230000</v>
      </c>
      <c r="G153" t="s">
        <v>202</v>
      </c>
    </row>
    <row r="154" spans="1:7" ht="16.5" thickBot="1" x14ac:dyDescent="0.3">
      <c r="A154" t="s">
        <v>106</v>
      </c>
      <c r="B154" t="s">
        <v>105</v>
      </c>
      <c r="C154" t="s">
        <v>484</v>
      </c>
      <c r="D154" t="s">
        <v>698</v>
      </c>
      <c r="E154" s="13">
        <v>45961</v>
      </c>
      <c r="F154">
        <v>230000</v>
      </c>
      <c r="G154" t="s">
        <v>202</v>
      </c>
    </row>
    <row r="155" spans="1:7" ht="16.5" thickBot="1" x14ac:dyDescent="0.3">
      <c r="A155" t="s">
        <v>106</v>
      </c>
      <c r="B155" t="s">
        <v>105</v>
      </c>
      <c r="C155" t="s">
        <v>485</v>
      </c>
      <c r="D155" t="s">
        <v>699</v>
      </c>
      <c r="E155" s="12">
        <v>45992</v>
      </c>
      <c r="F155">
        <v>230000</v>
      </c>
      <c r="G155" t="s">
        <v>631</v>
      </c>
    </row>
    <row r="156" spans="1:7" ht="16.5" thickBot="1" x14ac:dyDescent="0.3">
      <c r="A156" t="s">
        <v>106</v>
      </c>
      <c r="B156" t="s">
        <v>105</v>
      </c>
      <c r="C156" t="s">
        <v>486</v>
      </c>
      <c r="D156" t="s">
        <v>700</v>
      </c>
      <c r="E156" s="13">
        <v>46022</v>
      </c>
      <c r="F156">
        <v>230000</v>
      </c>
      <c r="G156" t="s">
        <v>202</v>
      </c>
    </row>
    <row r="157" spans="1:7" ht="16.5" thickBot="1" x14ac:dyDescent="0.3">
      <c r="A157" t="s">
        <v>106</v>
      </c>
      <c r="B157" t="s">
        <v>105</v>
      </c>
      <c r="C157" t="s">
        <v>487</v>
      </c>
      <c r="D157" t="s">
        <v>701</v>
      </c>
      <c r="E157" s="12">
        <v>46055</v>
      </c>
      <c r="F157">
        <v>230000</v>
      </c>
      <c r="G157" t="s">
        <v>202</v>
      </c>
    </row>
    <row r="158" spans="1:7" ht="16.5" thickBot="1" x14ac:dyDescent="0.3">
      <c r="A158" t="s">
        <v>106</v>
      </c>
      <c r="B158" t="s">
        <v>105</v>
      </c>
      <c r="C158" t="s">
        <v>488</v>
      </c>
      <c r="D158" t="s">
        <v>702</v>
      </c>
      <c r="E158" s="12">
        <v>46085</v>
      </c>
      <c r="F158">
        <v>230000</v>
      </c>
      <c r="G158" t="s">
        <v>202</v>
      </c>
    </row>
    <row r="159" spans="1:7" ht="16.5" thickBot="1" x14ac:dyDescent="0.3">
      <c r="A159" t="s">
        <v>106</v>
      </c>
      <c r="B159" t="s">
        <v>105</v>
      </c>
      <c r="C159" t="s">
        <v>489</v>
      </c>
      <c r="D159" t="s">
        <v>703</v>
      </c>
      <c r="E159" s="12">
        <v>46112</v>
      </c>
      <c r="F159">
        <v>230000</v>
      </c>
      <c r="G159" t="s">
        <v>202</v>
      </c>
    </row>
    <row r="160" spans="1:7" ht="16.5" thickBot="1" x14ac:dyDescent="0.3">
      <c r="A160" t="s">
        <v>110</v>
      </c>
      <c r="B160" t="s">
        <v>109</v>
      </c>
      <c r="C160" t="s">
        <v>490</v>
      </c>
      <c r="D160" t="s">
        <v>705</v>
      </c>
      <c r="E160" s="12">
        <v>45875</v>
      </c>
      <c r="F160">
        <v>200000</v>
      </c>
      <c r="G160" t="s">
        <v>202</v>
      </c>
    </row>
    <row r="161" spans="1:7" ht="16.5" thickBot="1" x14ac:dyDescent="0.3">
      <c r="A161" t="s">
        <v>110</v>
      </c>
      <c r="B161" t="s">
        <v>109</v>
      </c>
      <c r="C161" t="s">
        <v>491</v>
      </c>
      <c r="D161" t="s">
        <v>706</v>
      </c>
      <c r="E161" s="12">
        <v>45902</v>
      </c>
      <c r="F161">
        <v>200000</v>
      </c>
      <c r="G161" t="s">
        <v>202</v>
      </c>
    </row>
    <row r="162" spans="1:7" ht="16.5" thickBot="1" x14ac:dyDescent="0.3">
      <c r="A162" t="s">
        <v>110</v>
      </c>
      <c r="B162" t="s">
        <v>109</v>
      </c>
      <c r="C162" t="s">
        <v>492</v>
      </c>
      <c r="D162" t="s">
        <v>707</v>
      </c>
      <c r="E162" s="12">
        <v>45933</v>
      </c>
      <c r="F162">
        <v>200000</v>
      </c>
      <c r="G162" t="s">
        <v>202</v>
      </c>
    </row>
    <row r="163" spans="1:7" ht="16.5" thickBot="1" x14ac:dyDescent="0.3">
      <c r="A163" t="s">
        <v>110</v>
      </c>
      <c r="B163" t="s">
        <v>109</v>
      </c>
      <c r="C163" t="s">
        <v>493</v>
      </c>
      <c r="D163" t="s">
        <v>708</v>
      </c>
      <c r="E163" s="12">
        <v>45967</v>
      </c>
      <c r="F163">
        <v>200000</v>
      </c>
      <c r="G163" t="s">
        <v>202</v>
      </c>
    </row>
    <row r="164" spans="1:7" ht="16.5" thickBot="1" x14ac:dyDescent="0.3">
      <c r="A164" t="s">
        <v>110</v>
      </c>
      <c r="B164" t="s">
        <v>109</v>
      </c>
      <c r="C164" t="s">
        <v>494</v>
      </c>
      <c r="D164" t="s">
        <v>709</v>
      </c>
      <c r="E164" s="12">
        <v>45995</v>
      </c>
      <c r="F164">
        <v>200000</v>
      </c>
      <c r="G164" t="s">
        <v>202</v>
      </c>
    </row>
    <row r="165" spans="1:7" ht="16.5" thickBot="1" x14ac:dyDescent="0.3">
      <c r="A165" t="s">
        <v>110</v>
      </c>
      <c r="B165" t="s">
        <v>109</v>
      </c>
      <c r="C165" t="s">
        <v>495</v>
      </c>
      <c r="D165" t="s">
        <v>710</v>
      </c>
      <c r="E165" s="12">
        <v>46033</v>
      </c>
      <c r="F165">
        <v>200000</v>
      </c>
      <c r="G165" t="s">
        <v>202</v>
      </c>
    </row>
    <row r="166" spans="1:7" ht="16.5" thickBot="1" x14ac:dyDescent="0.3">
      <c r="A166" t="s">
        <v>110</v>
      </c>
      <c r="B166" t="s">
        <v>109</v>
      </c>
      <c r="C166" t="s">
        <v>496</v>
      </c>
      <c r="D166" t="s">
        <v>711</v>
      </c>
      <c r="E166" s="12">
        <v>46062</v>
      </c>
      <c r="F166">
        <v>200000</v>
      </c>
      <c r="G166" t="s">
        <v>202</v>
      </c>
    </row>
    <row r="167" spans="1:7" ht="16.5" thickBot="1" x14ac:dyDescent="0.3">
      <c r="A167" t="s">
        <v>110</v>
      </c>
      <c r="B167" t="s">
        <v>109</v>
      </c>
      <c r="C167" t="s">
        <v>497</v>
      </c>
      <c r="D167" t="s">
        <v>712</v>
      </c>
      <c r="E167" s="12">
        <v>46084</v>
      </c>
      <c r="F167">
        <v>200000</v>
      </c>
      <c r="G167" t="s">
        <v>202</v>
      </c>
    </row>
    <row r="168" spans="1:7" ht="16.5" thickBot="1" x14ac:dyDescent="0.3">
      <c r="A168" t="s">
        <v>110</v>
      </c>
      <c r="B168" t="s">
        <v>109</v>
      </c>
      <c r="C168" t="s">
        <v>498</v>
      </c>
      <c r="D168" t="s">
        <v>713</v>
      </c>
      <c r="E168" s="12">
        <v>46117</v>
      </c>
      <c r="F168">
        <v>200000</v>
      </c>
      <c r="G168" t="s">
        <v>202</v>
      </c>
    </row>
    <row r="169" spans="1:7" ht="16.5" thickBot="1" x14ac:dyDescent="0.3">
      <c r="A169" t="s">
        <v>114</v>
      </c>
      <c r="B169" t="s">
        <v>113</v>
      </c>
      <c r="C169" t="s">
        <v>499</v>
      </c>
      <c r="D169" t="s">
        <v>715</v>
      </c>
      <c r="E169" s="12">
        <v>45871</v>
      </c>
      <c r="F169">
        <v>230000</v>
      </c>
      <c r="G169" t="s">
        <v>202</v>
      </c>
    </row>
    <row r="170" spans="1:7" ht="16.5" thickBot="1" x14ac:dyDescent="0.3">
      <c r="A170" t="s">
        <v>114</v>
      </c>
      <c r="B170" t="s">
        <v>113</v>
      </c>
      <c r="C170" t="s">
        <v>500</v>
      </c>
      <c r="D170" t="s">
        <v>716</v>
      </c>
      <c r="E170" s="13">
        <v>45917</v>
      </c>
      <c r="F170">
        <v>230000</v>
      </c>
      <c r="G170" t="s">
        <v>202</v>
      </c>
    </row>
    <row r="171" spans="1:7" ht="16.5" thickBot="1" x14ac:dyDescent="0.3">
      <c r="A171" t="s">
        <v>114</v>
      </c>
      <c r="B171" t="s">
        <v>113</v>
      </c>
      <c r="C171" t="s">
        <v>501</v>
      </c>
      <c r="D171" t="s">
        <v>717</v>
      </c>
      <c r="E171" s="13">
        <v>45950</v>
      </c>
      <c r="F171">
        <v>230000</v>
      </c>
      <c r="G171" t="s">
        <v>202</v>
      </c>
    </row>
    <row r="172" spans="1:7" ht="16.5" thickBot="1" x14ac:dyDescent="0.3">
      <c r="A172" t="s">
        <v>114</v>
      </c>
      <c r="B172" t="s">
        <v>113</v>
      </c>
      <c r="C172" t="s">
        <v>502</v>
      </c>
      <c r="D172" t="s">
        <v>718</v>
      </c>
      <c r="E172" s="13">
        <v>45978</v>
      </c>
      <c r="F172">
        <v>230000</v>
      </c>
      <c r="G172" t="s">
        <v>631</v>
      </c>
    </row>
    <row r="173" spans="1:7" ht="16.5" thickBot="1" x14ac:dyDescent="0.3">
      <c r="A173" t="s">
        <v>114</v>
      </c>
      <c r="B173" t="s">
        <v>113</v>
      </c>
      <c r="C173" t="s">
        <v>503</v>
      </c>
      <c r="D173" t="s">
        <v>719</v>
      </c>
      <c r="E173" s="13">
        <v>46006</v>
      </c>
      <c r="F173">
        <v>230000</v>
      </c>
      <c r="G173" t="s">
        <v>631</v>
      </c>
    </row>
    <row r="174" spans="1:7" ht="16.5" thickBot="1" x14ac:dyDescent="0.3">
      <c r="A174" t="s">
        <v>114</v>
      </c>
      <c r="B174" t="s">
        <v>113</v>
      </c>
      <c r="C174" t="s">
        <v>504</v>
      </c>
      <c r="D174" t="s">
        <v>720</v>
      </c>
      <c r="E174" s="13">
        <v>46048</v>
      </c>
      <c r="F174">
        <v>230000</v>
      </c>
      <c r="G174" t="s">
        <v>202</v>
      </c>
    </row>
    <row r="175" spans="1:7" ht="16.5" thickBot="1" x14ac:dyDescent="0.3">
      <c r="A175" t="s">
        <v>114</v>
      </c>
      <c r="B175" t="s">
        <v>113</v>
      </c>
      <c r="C175" t="s">
        <v>505</v>
      </c>
      <c r="D175" t="s">
        <v>721</v>
      </c>
      <c r="E175" s="13">
        <v>46066</v>
      </c>
      <c r="F175">
        <v>230000</v>
      </c>
      <c r="G175" t="s">
        <v>202</v>
      </c>
    </row>
    <row r="176" spans="1:7" ht="16.5" thickBot="1" x14ac:dyDescent="0.3">
      <c r="A176" t="s">
        <v>114</v>
      </c>
      <c r="B176" t="s">
        <v>113</v>
      </c>
      <c r="C176" t="s">
        <v>506</v>
      </c>
      <c r="D176" t="s">
        <v>722</v>
      </c>
      <c r="E176" s="13">
        <v>46097</v>
      </c>
      <c r="F176">
        <v>230000</v>
      </c>
      <c r="G176" t="s">
        <v>202</v>
      </c>
    </row>
    <row r="177" spans="1:7" ht="16.5" thickBot="1" x14ac:dyDescent="0.3">
      <c r="A177" t="s">
        <v>114</v>
      </c>
      <c r="B177" t="s">
        <v>113</v>
      </c>
      <c r="C177" t="s">
        <v>507</v>
      </c>
      <c r="D177" t="s">
        <v>723</v>
      </c>
      <c r="E177" s="12">
        <v>46113</v>
      </c>
      <c r="F177">
        <v>230000</v>
      </c>
      <c r="G177" t="s">
        <v>202</v>
      </c>
    </row>
    <row r="178" spans="1:7" ht="16.5" thickBot="1" x14ac:dyDescent="0.3">
      <c r="A178" t="s">
        <v>118</v>
      </c>
      <c r="B178" t="s">
        <v>117</v>
      </c>
      <c r="C178" t="s">
        <v>508</v>
      </c>
      <c r="D178" t="s">
        <v>724</v>
      </c>
      <c r="E178" s="14">
        <v>45848</v>
      </c>
      <c r="F178">
        <v>230000</v>
      </c>
      <c r="G178" t="s">
        <v>202</v>
      </c>
    </row>
    <row r="179" spans="1:7" ht="16.5" thickBot="1" x14ac:dyDescent="0.3">
      <c r="A179" t="s">
        <v>118</v>
      </c>
      <c r="B179" t="s">
        <v>117</v>
      </c>
      <c r="C179" t="s">
        <v>509</v>
      </c>
      <c r="D179" t="s">
        <v>725</v>
      </c>
      <c r="E179" s="12">
        <v>45874</v>
      </c>
      <c r="F179">
        <v>230000</v>
      </c>
      <c r="G179" t="s">
        <v>202</v>
      </c>
    </row>
    <row r="180" spans="1:7" ht="16.5" thickBot="1" x14ac:dyDescent="0.3">
      <c r="A180" t="s">
        <v>118</v>
      </c>
      <c r="B180" t="s">
        <v>117</v>
      </c>
      <c r="C180" t="s">
        <v>510</v>
      </c>
      <c r="D180" t="s">
        <v>726</v>
      </c>
      <c r="E180" s="12">
        <v>45904</v>
      </c>
      <c r="F180">
        <v>230000</v>
      </c>
      <c r="G180" t="s">
        <v>202</v>
      </c>
    </row>
    <row r="181" spans="1:7" ht="16.5" thickBot="1" x14ac:dyDescent="0.3">
      <c r="A181" t="s">
        <v>118</v>
      </c>
      <c r="B181" t="s">
        <v>117</v>
      </c>
      <c r="C181" t="s">
        <v>511</v>
      </c>
      <c r="D181" t="s">
        <v>727</v>
      </c>
      <c r="E181" s="12">
        <v>45936</v>
      </c>
      <c r="F181">
        <v>230000</v>
      </c>
      <c r="G181" t="s">
        <v>202</v>
      </c>
    </row>
    <row r="182" spans="1:7" ht="16.5" thickBot="1" x14ac:dyDescent="0.3">
      <c r="A182" t="s">
        <v>118</v>
      </c>
      <c r="B182" t="s">
        <v>117</v>
      </c>
      <c r="C182" t="s">
        <v>512</v>
      </c>
      <c r="D182" t="s">
        <v>728</v>
      </c>
      <c r="E182" s="12">
        <v>45965</v>
      </c>
      <c r="F182">
        <v>230000</v>
      </c>
      <c r="G182" t="s">
        <v>202</v>
      </c>
    </row>
    <row r="183" spans="1:7" ht="16.5" thickBot="1" x14ac:dyDescent="0.3">
      <c r="A183" t="s">
        <v>118</v>
      </c>
      <c r="B183" t="s">
        <v>117</v>
      </c>
      <c r="C183" t="s">
        <v>513</v>
      </c>
      <c r="D183" t="s">
        <v>729</v>
      </c>
      <c r="E183" s="12">
        <v>46000</v>
      </c>
      <c r="F183">
        <v>230000</v>
      </c>
      <c r="G183" t="s">
        <v>202</v>
      </c>
    </row>
    <row r="184" spans="1:7" ht="16.5" thickBot="1" x14ac:dyDescent="0.3">
      <c r="A184" t="s">
        <v>118</v>
      </c>
      <c r="B184" t="s">
        <v>117</v>
      </c>
      <c r="C184" t="s">
        <v>514</v>
      </c>
      <c r="D184" t="s">
        <v>730</v>
      </c>
      <c r="E184" s="12">
        <v>46029</v>
      </c>
      <c r="F184">
        <v>230000</v>
      </c>
      <c r="G184" t="s">
        <v>202</v>
      </c>
    </row>
    <row r="185" spans="1:7" ht="16.5" thickBot="1" x14ac:dyDescent="0.3">
      <c r="A185" t="s">
        <v>118</v>
      </c>
      <c r="B185" t="s">
        <v>117</v>
      </c>
      <c r="C185" t="s">
        <v>515</v>
      </c>
      <c r="D185" t="s">
        <v>731</v>
      </c>
      <c r="E185" s="12">
        <v>46059</v>
      </c>
      <c r="F185">
        <v>230000</v>
      </c>
      <c r="G185" t="s">
        <v>202</v>
      </c>
    </row>
    <row r="186" spans="1:7" ht="16.5" thickBot="1" x14ac:dyDescent="0.3">
      <c r="A186" t="s">
        <v>118</v>
      </c>
      <c r="B186" t="s">
        <v>117</v>
      </c>
      <c r="C186" t="s">
        <v>516</v>
      </c>
      <c r="D186" t="s">
        <v>732</v>
      </c>
      <c r="E186" s="12">
        <v>46084</v>
      </c>
      <c r="F186">
        <v>230000</v>
      </c>
      <c r="G186" t="s">
        <v>202</v>
      </c>
    </row>
    <row r="187" spans="1:7" ht="16.5" thickBot="1" x14ac:dyDescent="0.3">
      <c r="A187" t="s">
        <v>118</v>
      </c>
      <c r="B187" t="s">
        <v>117</v>
      </c>
      <c r="C187" t="s">
        <v>517</v>
      </c>
      <c r="D187" t="s">
        <v>733</v>
      </c>
      <c r="E187" s="12">
        <v>46120</v>
      </c>
      <c r="F187">
        <v>230000</v>
      </c>
      <c r="G187" t="s">
        <v>202</v>
      </c>
    </row>
    <row r="188" spans="1:7" ht="16.5" thickBot="1" x14ac:dyDescent="0.3">
      <c r="A188" t="s">
        <v>126</v>
      </c>
      <c r="B188" t="s">
        <v>125</v>
      </c>
      <c r="C188" t="s">
        <v>518</v>
      </c>
      <c r="D188" t="s">
        <v>735</v>
      </c>
      <c r="E188" s="13">
        <v>45890</v>
      </c>
      <c r="F188">
        <v>230000</v>
      </c>
      <c r="G188" t="s">
        <v>202</v>
      </c>
    </row>
    <row r="189" spans="1:7" ht="16.5" thickBot="1" x14ac:dyDescent="0.3">
      <c r="A189" t="s">
        <v>126</v>
      </c>
      <c r="B189" t="s">
        <v>125</v>
      </c>
      <c r="C189" t="s">
        <v>519</v>
      </c>
      <c r="D189" t="s">
        <v>736</v>
      </c>
      <c r="E189" s="12">
        <v>45912</v>
      </c>
      <c r="F189">
        <v>230000</v>
      </c>
      <c r="G189" t="s">
        <v>202</v>
      </c>
    </row>
    <row r="190" spans="1:7" ht="16.5" thickBot="1" x14ac:dyDescent="0.3">
      <c r="A190" t="s">
        <v>126</v>
      </c>
      <c r="B190" t="s">
        <v>125</v>
      </c>
      <c r="C190" t="s">
        <v>520</v>
      </c>
      <c r="D190" t="s">
        <v>737</v>
      </c>
      <c r="E190" s="13">
        <v>45944</v>
      </c>
      <c r="F190">
        <v>230000</v>
      </c>
      <c r="G190" t="s">
        <v>202</v>
      </c>
    </row>
    <row r="191" spans="1:7" ht="16.5" thickBot="1" x14ac:dyDescent="0.3">
      <c r="A191" t="s">
        <v>126</v>
      </c>
      <c r="B191" t="s">
        <v>125</v>
      </c>
      <c r="C191" t="s">
        <v>521</v>
      </c>
      <c r="D191" t="s">
        <v>738</v>
      </c>
      <c r="E191" s="12">
        <v>45994</v>
      </c>
      <c r="F191">
        <v>230000</v>
      </c>
      <c r="G191" t="s">
        <v>202</v>
      </c>
    </row>
    <row r="192" spans="1:7" ht="16.5" thickBot="1" x14ac:dyDescent="0.3">
      <c r="A192" t="s">
        <v>126</v>
      </c>
      <c r="B192" t="s">
        <v>125</v>
      </c>
      <c r="C192" t="s">
        <v>522</v>
      </c>
      <c r="D192" t="s">
        <v>739</v>
      </c>
      <c r="E192" s="12">
        <v>45994</v>
      </c>
      <c r="F192">
        <v>230000</v>
      </c>
      <c r="G192" t="s">
        <v>202</v>
      </c>
    </row>
    <row r="193" spans="1:7" ht="16.5" thickBot="1" x14ac:dyDescent="0.3">
      <c r="A193" t="s">
        <v>130</v>
      </c>
      <c r="B193" t="s">
        <v>129</v>
      </c>
      <c r="C193" t="s">
        <v>523</v>
      </c>
      <c r="D193" t="s">
        <v>741</v>
      </c>
      <c r="E193" s="12">
        <v>45902</v>
      </c>
      <c r="F193">
        <v>230000</v>
      </c>
      <c r="G193" t="s">
        <v>202</v>
      </c>
    </row>
    <row r="194" spans="1:7" ht="16.5" thickBot="1" x14ac:dyDescent="0.3">
      <c r="A194" t="s">
        <v>130</v>
      </c>
      <c r="B194" t="s">
        <v>129</v>
      </c>
      <c r="C194" t="s">
        <v>524</v>
      </c>
      <c r="D194" t="s">
        <v>742</v>
      </c>
      <c r="E194" s="13">
        <v>45952</v>
      </c>
      <c r="F194">
        <v>230000</v>
      </c>
      <c r="G194" t="s">
        <v>202</v>
      </c>
    </row>
    <row r="195" spans="1:7" ht="16.5" thickBot="1" x14ac:dyDescent="0.3">
      <c r="A195" t="s">
        <v>130</v>
      </c>
      <c r="B195" t="s">
        <v>129</v>
      </c>
      <c r="C195" t="s">
        <v>525</v>
      </c>
      <c r="D195" t="s">
        <v>743</v>
      </c>
      <c r="E195" s="13">
        <v>45952</v>
      </c>
      <c r="F195">
        <v>230000</v>
      </c>
      <c r="G195" t="s">
        <v>202</v>
      </c>
    </row>
    <row r="196" spans="1:7" ht="16.5" thickBot="1" x14ac:dyDescent="0.3">
      <c r="A196" t="s">
        <v>130</v>
      </c>
      <c r="B196" t="s">
        <v>129</v>
      </c>
      <c r="C196" t="s">
        <v>526</v>
      </c>
      <c r="D196" t="s">
        <v>744</v>
      </c>
      <c r="E196" s="13">
        <v>46126</v>
      </c>
      <c r="F196">
        <v>230000</v>
      </c>
      <c r="G196" t="s">
        <v>202</v>
      </c>
    </row>
    <row r="197" spans="1:7" ht="16.5" thickBot="1" x14ac:dyDescent="0.3">
      <c r="A197" t="s">
        <v>130</v>
      </c>
      <c r="B197" t="s">
        <v>129</v>
      </c>
      <c r="C197" t="s">
        <v>527</v>
      </c>
      <c r="D197" t="s">
        <v>745</v>
      </c>
      <c r="E197" s="13">
        <v>46126</v>
      </c>
      <c r="F197">
        <v>230000</v>
      </c>
      <c r="G197" t="s">
        <v>202</v>
      </c>
    </row>
    <row r="198" spans="1:7" ht="16.5" thickBot="1" x14ac:dyDescent="0.3">
      <c r="A198" t="s">
        <v>130</v>
      </c>
      <c r="B198" t="s">
        <v>129</v>
      </c>
      <c r="C198" t="s">
        <v>528</v>
      </c>
      <c r="D198" t="s">
        <v>746</v>
      </c>
      <c r="E198" s="13">
        <v>46126</v>
      </c>
      <c r="F198">
        <v>230000</v>
      </c>
      <c r="G198" t="s">
        <v>202</v>
      </c>
    </row>
    <row r="199" spans="1:7" ht="16.5" thickBot="1" x14ac:dyDescent="0.3">
      <c r="A199" t="s">
        <v>130</v>
      </c>
      <c r="B199" t="s">
        <v>129</v>
      </c>
      <c r="C199" t="s">
        <v>529</v>
      </c>
      <c r="D199" t="s">
        <v>747</v>
      </c>
      <c r="E199" s="13">
        <v>46126</v>
      </c>
      <c r="F199">
        <v>230000</v>
      </c>
      <c r="G199" t="s">
        <v>202</v>
      </c>
    </row>
    <row r="200" spans="1:7" ht="16.5" thickBot="1" x14ac:dyDescent="0.3">
      <c r="A200" t="s">
        <v>134</v>
      </c>
      <c r="B200" t="s">
        <v>133</v>
      </c>
      <c r="C200" t="s">
        <v>530</v>
      </c>
      <c r="D200" t="s">
        <v>749</v>
      </c>
      <c r="E200" s="12">
        <v>45873</v>
      </c>
      <c r="F200">
        <v>230000</v>
      </c>
      <c r="G200" t="s">
        <v>202</v>
      </c>
    </row>
    <row r="201" spans="1:7" ht="16.5" thickBot="1" x14ac:dyDescent="0.3">
      <c r="A201" t="s">
        <v>134</v>
      </c>
      <c r="B201" t="s">
        <v>133</v>
      </c>
      <c r="C201" t="s">
        <v>531</v>
      </c>
      <c r="D201" t="s">
        <v>750</v>
      </c>
      <c r="E201" s="12">
        <v>45909</v>
      </c>
      <c r="F201">
        <v>230000</v>
      </c>
      <c r="G201" t="s">
        <v>202</v>
      </c>
    </row>
    <row r="202" spans="1:7" ht="16.5" thickBot="1" x14ac:dyDescent="0.3">
      <c r="A202" t="s">
        <v>134</v>
      </c>
      <c r="B202" t="s">
        <v>133</v>
      </c>
      <c r="C202" t="s">
        <v>532</v>
      </c>
      <c r="D202" t="s">
        <v>751</v>
      </c>
      <c r="E202" s="12">
        <v>45932</v>
      </c>
      <c r="F202">
        <v>230000</v>
      </c>
      <c r="G202" t="s">
        <v>202</v>
      </c>
    </row>
    <row r="203" spans="1:7" ht="16.5" thickBot="1" x14ac:dyDescent="0.3">
      <c r="A203" t="s">
        <v>134</v>
      </c>
      <c r="B203" t="s">
        <v>133</v>
      </c>
      <c r="C203" t="s">
        <v>533</v>
      </c>
      <c r="D203" t="s">
        <v>752</v>
      </c>
      <c r="E203" s="12">
        <v>45966</v>
      </c>
      <c r="F203">
        <v>230000</v>
      </c>
      <c r="G203" t="s">
        <v>202</v>
      </c>
    </row>
    <row r="204" spans="1:7" ht="16.5" thickBot="1" x14ac:dyDescent="0.3">
      <c r="A204" t="s">
        <v>134</v>
      </c>
      <c r="B204" t="s">
        <v>133</v>
      </c>
      <c r="C204" t="s">
        <v>534</v>
      </c>
      <c r="D204" t="s">
        <v>753</v>
      </c>
      <c r="E204" s="12">
        <v>45992</v>
      </c>
      <c r="F204">
        <v>230000</v>
      </c>
      <c r="G204" t="s">
        <v>202</v>
      </c>
    </row>
    <row r="205" spans="1:7" ht="16.5" thickBot="1" x14ac:dyDescent="0.3">
      <c r="A205" t="s">
        <v>134</v>
      </c>
      <c r="B205" t="s">
        <v>133</v>
      </c>
      <c r="C205" t="s">
        <v>535</v>
      </c>
      <c r="D205" t="s">
        <v>754</v>
      </c>
      <c r="E205" s="13">
        <v>46035</v>
      </c>
      <c r="F205">
        <v>230000</v>
      </c>
      <c r="G205" t="s">
        <v>202</v>
      </c>
    </row>
    <row r="206" spans="1:7" ht="16.5" thickBot="1" x14ac:dyDescent="0.3">
      <c r="A206" t="s">
        <v>134</v>
      </c>
      <c r="B206" t="s">
        <v>133</v>
      </c>
      <c r="C206" t="s">
        <v>536</v>
      </c>
      <c r="D206" t="s">
        <v>755</v>
      </c>
      <c r="E206" s="12">
        <v>46055</v>
      </c>
      <c r="F206">
        <v>230000</v>
      </c>
      <c r="G206" t="s">
        <v>202</v>
      </c>
    </row>
    <row r="207" spans="1:7" ht="16.5" thickBot="1" x14ac:dyDescent="0.3">
      <c r="A207" t="s">
        <v>134</v>
      </c>
      <c r="B207" t="s">
        <v>133</v>
      </c>
      <c r="C207" t="s">
        <v>537</v>
      </c>
      <c r="D207" t="s">
        <v>756</v>
      </c>
      <c r="E207" s="12">
        <v>46085</v>
      </c>
      <c r="F207">
        <v>230000</v>
      </c>
      <c r="G207" t="s">
        <v>202</v>
      </c>
    </row>
    <row r="208" spans="1:7" ht="16.5" thickBot="1" x14ac:dyDescent="0.3">
      <c r="A208" t="s">
        <v>134</v>
      </c>
      <c r="B208" t="s">
        <v>133</v>
      </c>
      <c r="C208" t="s">
        <v>538</v>
      </c>
      <c r="D208" t="s">
        <v>757</v>
      </c>
      <c r="E208" s="12">
        <v>46118</v>
      </c>
      <c r="F208">
        <v>230000</v>
      </c>
      <c r="G208" t="s">
        <v>202</v>
      </c>
    </row>
    <row r="209" spans="1:7" ht="16.5" thickBot="1" x14ac:dyDescent="0.3">
      <c r="A209" t="s">
        <v>138</v>
      </c>
      <c r="B209" t="s">
        <v>137</v>
      </c>
      <c r="C209" t="s">
        <v>539</v>
      </c>
      <c r="D209" t="s">
        <v>759</v>
      </c>
      <c r="E209" s="12">
        <v>45875</v>
      </c>
      <c r="F209">
        <v>230000</v>
      </c>
      <c r="G209" t="s">
        <v>202</v>
      </c>
    </row>
    <row r="210" spans="1:7" ht="16.5" thickBot="1" x14ac:dyDescent="0.3">
      <c r="A210" t="s">
        <v>138</v>
      </c>
      <c r="B210" t="s">
        <v>137</v>
      </c>
      <c r="C210" t="s">
        <v>540</v>
      </c>
      <c r="D210" t="s">
        <v>760</v>
      </c>
      <c r="E210" s="12">
        <v>45908</v>
      </c>
      <c r="F210">
        <v>230000</v>
      </c>
      <c r="G210" t="s">
        <v>202</v>
      </c>
    </row>
    <row r="211" spans="1:7" ht="16.5" thickBot="1" x14ac:dyDescent="0.3">
      <c r="A211" t="s">
        <v>138</v>
      </c>
      <c r="B211" t="s">
        <v>137</v>
      </c>
      <c r="C211" t="s">
        <v>541</v>
      </c>
      <c r="D211" t="s">
        <v>761</v>
      </c>
      <c r="E211" s="12">
        <v>45936</v>
      </c>
      <c r="F211">
        <v>230000</v>
      </c>
      <c r="G211" t="s">
        <v>202</v>
      </c>
    </row>
    <row r="212" spans="1:7" ht="16.5" thickBot="1" x14ac:dyDescent="0.3">
      <c r="A212" t="s">
        <v>138</v>
      </c>
      <c r="B212" t="s">
        <v>137</v>
      </c>
      <c r="C212" t="s">
        <v>542</v>
      </c>
      <c r="D212" t="s">
        <v>762</v>
      </c>
      <c r="E212" s="12">
        <v>45965</v>
      </c>
      <c r="F212">
        <v>230000</v>
      </c>
      <c r="G212" t="s">
        <v>202</v>
      </c>
    </row>
    <row r="213" spans="1:7" ht="16.5" thickBot="1" x14ac:dyDescent="0.3">
      <c r="A213" t="s">
        <v>138</v>
      </c>
      <c r="B213" t="s">
        <v>137</v>
      </c>
      <c r="C213" t="s">
        <v>543</v>
      </c>
      <c r="D213" t="s">
        <v>763</v>
      </c>
      <c r="E213" s="12">
        <v>45994</v>
      </c>
      <c r="F213">
        <v>230000</v>
      </c>
      <c r="G213" t="s">
        <v>202</v>
      </c>
    </row>
    <row r="214" spans="1:7" ht="16.5" thickBot="1" x14ac:dyDescent="0.3">
      <c r="A214" t="s">
        <v>138</v>
      </c>
      <c r="B214" t="s">
        <v>137</v>
      </c>
      <c r="C214" t="s">
        <v>544</v>
      </c>
      <c r="D214" t="s">
        <v>764</v>
      </c>
      <c r="E214" s="13">
        <v>46051</v>
      </c>
      <c r="F214">
        <v>230000</v>
      </c>
      <c r="G214" t="s">
        <v>205</v>
      </c>
    </row>
    <row r="215" spans="1:7" ht="16.5" thickBot="1" x14ac:dyDescent="0.3">
      <c r="A215" t="s">
        <v>138</v>
      </c>
      <c r="B215" t="s">
        <v>137</v>
      </c>
      <c r="C215" t="s">
        <v>545</v>
      </c>
      <c r="D215" t="s">
        <v>765</v>
      </c>
      <c r="E215" s="13">
        <v>46051</v>
      </c>
      <c r="F215">
        <v>230000</v>
      </c>
      <c r="G215" t="s">
        <v>202</v>
      </c>
    </row>
    <row r="216" spans="1:7" ht="16.5" thickBot="1" x14ac:dyDescent="0.3">
      <c r="A216" t="s">
        <v>138</v>
      </c>
      <c r="B216" t="s">
        <v>137</v>
      </c>
      <c r="C216" t="s">
        <v>546</v>
      </c>
      <c r="D216" t="s">
        <v>766</v>
      </c>
      <c r="E216" s="12">
        <v>46083</v>
      </c>
      <c r="F216">
        <v>230000</v>
      </c>
      <c r="G216" t="s">
        <v>202</v>
      </c>
    </row>
    <row r="217" spans="1:7" ht="16.5" thickBot="1" x14ac:dyDescent="0.3">
      <c r="A217" t="s">
        <v>138</v>
      </c>
      <c r="B217" t="s">
        <v>137</v>
      </c>
      <c r="C217" t="s">
        <v>547</v>
      </c>
      <c r="D217" t="s">
        <v>767</v>
      </c>
      <c r="E217" s="12">
        <v>46083</v>
      </c>
      <c r="F217">
        <v>230000</v>
      </c>
      <c r="G217" t="s">
        <v>202</v>
      </c>
    </row>
    <row r="218" spans="1:7" ht="16.5" thickBot="1" x14ac:dyDescent="0.3">
      <c r="A218" t="s">
        <v>142</v>
      </c>
      <c r="B218" t="s">
        <v>141</v>
      </c>
      <c r="C218" t="s">
        <v>548</v>
      </c>
      <c r="D218" t="s">
        <v>769</v>
      </c>
      <c r="E218" s="12">
        <v>45903</v>
      </c>
      <c r="F218">
        <v>230000</v>
      </c>
      <c r="G218" t="s">
        <v>202</v>
      </c>
    </row>
    <row r="219" spans="1:7" ht="16.5" thickBot="1" x14ac:dyDescent="0.3">
      <c r="A219" t="s">
        <v>142</v>
      </c>
      <c r="B219" t="s">
        <v>141</v>
      </c>
      <c r="C219" t="s">
        <v>549</v>
      </c>
      <c r="D219" t="s">
        <v>770</v>
      </c>
      <c r="E219" s="13">
        <v>45950</v>
      </c>
      <c r="F219">
        <v>230000</v>
      </c>
      <c r="G219" t="s">
        <v>202</v>
      </c>
    </row>
    <row r="220" spans="1:7" ht="16.5" thickBot="1" x14ac:dyDescent="0.3">
      <c r="A220" t="s">
        <v>142</v>
      </c>
      <c r="B220" t="s">
        <v>141</v>
      </c>
      <c r="C220" t="s">
        <v>550</v>
      </c>
      <c r="D220" t="s">
        <v>771</v>
      </c>
      <c r="E220" s="14">
        <v>45940</v>
      </c>
      <c r="F220">
        <v>0</v>
      </c>
      <c r="G220" t="s">
        <v>202</v>
      </c>
    </row>
    <row r="221" spans="1:7" ht="16.5" thickBot="1" x14ac:dyDescent="0.3">
      <c r="A221" t="s">
        <v>146</v>
      </c>
      <c r="B221" t="s">
        <v>145</v>
      </c>
      <c r="C221" t="s">
        <v>551</v>
      </c>
      <c r="D221" t="s">
        <v>773</v>
      </c>
      <c r="E221" s="12">
        <v>45873</v>
      </c>
      <c r="F221">
        <v>150000</v>
      </c>
      <c r="G221" t="s">
        <v>202</v>
      </c>
    </row>
    <row r="222" spans="1:7" ht="16.5" thickBot="1" x14ac:dyDescent="0.3">
      <c r="A222" t="s">
        <v>146</v>
      </c>
      <c r="B222" t="s">
        <v>145</v>
      </c>
      <c r="C222" t="s">
        <v>552</v>
      </c>
      <c r="D222" t="s">
        <v>774</v>
      </c>
      <c r="E222" s="12">
        <v>45903</v>
      </c>
      <c r="F222">
        <v>150000</v>
      </c>
      <c r="G222" t="s">
        <v>202</v>
      </c>
    </row>
    <row r="223" spans="1:7" ht="16.5" thickBot="1" x14ac:dyDescent="0.3">
      <c r="A223" t="s">
        <v>146</v>
      </c>
      <c r="B223" t="s">
        <v>145</v>
      </c>
      <c r="C223" t="s">
        <v>553</v>
      </c>
      <c r="D223" t="s">
        <v>775</v>
      </c>
      <c r="E223" s="12">
        <v>45933</v>
      </c>
      <c r="F223">
        <v>150000</v>
      </c>
      <c r="G223" t="s">
        <v>202</v>
      </c>
    </row>
    <row r="224" spans="1:7" ht="16.5" thickBot="1" x14ac:dyDescent="0.3">
      <c r="A224" t="s">
        <v>146</v>
      </c>
      <c r="B224" t="s">
        <v>145</v>
      </c>
      <c r="C224" t="s">
        <v>554</v>
      </c>
      <c r="D224" t="s">
        <v>776</v>
      </c>
      <c r="E224" s="12">
        <v>45967</v>
      </c>
      <c r="F224">
        <v>150000</v>
      </c>
      <c r="G224" t="s">
        <v>202</v>
      </c>
    </row>
    <row r="225" spans="1:7" ht="16.5" thickBot="1" x14ac:dyDescent="0.3">
      <c r="A225" t="s">
        <v>146</v>
      </c>
      <c r="B225" t="s">
        <v>145</v>
      </c>
      <c r="C225" t="s">
        <v>555</v>
      </c>
      <c r="D225" t="s">
        <v>777</v>
      </c>
      <c r="E225" s="12">
        <v>45993</v>
      </c>
      <c r="F225">
        <v>150000</v>
      </c>
      <c r="G225" t="s">
        <v>202</v>
      </c>
    </row>
    <row r="226" spans="1:7" ht="16.5" thickBot="1" x14ac:dyDescent="0.3">
      <c r="A226" t="s">
        <v>146</v>
      </c>
      <c r="B226" t="s">
        <v>145</v>
      </c>
      <c r="C226" t="s">
        <v>556</v>
      </c>
      <c r="D226" t="s">
        <v>778</v>
      </c>
      <c r="E226" s="12">
        <v>46057</v>
      </c>
      <c r="F226">
        <v>150000</v>
      </c>
      <c r="G226" t="s">
        <v>202</v>
      </c>
    </row>
    <row r="227" spans="1:7" ht="16.5" thickBot="1" x14ac:dyDescent="0.3">
      <c r="A227" t="s">
        <v>146</v>
      </c>
      <c r="B227" t="s">
        <v>145</v>
      </c>
      <c r="C227" t="s">
        <v>557</v>
      </c>
      <c r="D227" t="s">
        <v>779</v>
      </c>
      <c r="E227" s="12">
        <v>46057</v>
      </c>
      <c r="F227">
        <v>150000</v>
      </c>
      <c r="G227" t="s">
        <v>202</v>
      </c>
    </row>
    <row r="228" spans="1:7" ht="16.5" thickBot="1" x14ac:dyDescent="0.3">
      <c r="A228" t="s">
        <v>146</v>
      </c>
      <c r="B228" t="s">
        <v>145</v>
      </c>
      <c r="C228" t="s">
        <v>558</v>
      </c>
      <c r="D228" t="s">
        <v>780</v>
      </c>
      <c r="E228" s="12">
        <v>46086</v>
      </c>
      <c r="F228">
        <v>150000</v>
      </c>
      <c r="G228" t="s">
        <v>202</v>
      </c>
    </row>
    <row r="229" spans="1:7" ht="16.5" thickBot="1" x14ac:dyDescent="0.3">
      <c r="A229" t="s">
        <v>146</v>
      </c>
      <c r="B229" t="s">
        <v>145</v>
      </c>
      <c r="C229" t="s">
        <v>559</v>
      </c>
      <c r="D229" t="s">
        <v>781</v>
      </c>
      <c r="E229" s="12">
        <v>46120</v>
      </c>
      <c r="F229">
        <v>150000</v>
      </c>
      <c r="G229" t="s">
        <v>202</v>
      </c>
    </row>
    <row r="230" spans="1:7" ht="16.5" thickBot="1" x14ac:dyDescent="0.3">
      <c r="A230" t="s">
        <v>150</v>
      </c>
      <c r="B230" t="s">
        <v>149</v>
      </c>
      <c r="C230" t="s">
        <v>560</v>
      </c>
      <c r="D230" t="s">
        <v>783</v>
      </c>
      <c r="E230" s="12">
        <v>45870</v>
      </c>
      <c r="F230">
        <v>230000</v>
      </c>
      <c r="G230" t="s">
        <v>202</v>
      </c>
    </row>
    <row r="231" spans="1:7" ht="16.5" thickBot="1" x14ac:dyDescent="0.3">
      <c r="A231" t="s">
        <v>150</v>
      </c>
      <c r="B231" t="s">
        <v>149</v>
      </c>
      <c r="C231" t="s">
        <v>561</v>
      </c>
      <c r="D231" t="s">
        <v>784</v>
      </c>
      <c r="E231" s="12">
        <v>45904</v>
      </c>
      <c r="F231">
        <v>230000</v>
      </c>
      <c r="G231" t="s">
        <v>202</v>
      </c>
    </row>
    <row r="232" spans="1:7" ht="16.5" thickBot="1" x14ac:dyDescent="0.3">
      <c r="A232" t="s">
        <v>150</v>
      </c>
      <c r="B232" t="s">
        <v>149</v>
      </c>
      <c r="C232" t="s">
        <v>562</v>
      </c>
      <c r="D232" t="s">
        <v>785</v>
      </c>
      <c r="E232" s="12">
        <v>45933</v>
      </c>
      <c r="F232">
        <v>230000</v>
      </c>
      <c r="G232" t="s">
        <v>202</v>
      </c>
    </row>
    <row r="233" spans="1:7" ht="16.5" thickBot="1" x14ac:dyDescent="0.3">
      <c r="A233" t="s">
        <v>150</v>
      </c>
      <c r="B233" t="s">
        <v>149</v>
      </c>
      <c r="C233" t="s">
        <v>563</v>
      </c>
      <c r="D233" t="s">
        <v>786</v>
      </c>
      <c r="E233" s="12">
        <v>45968</v>
      </c>
      <c r="F233">
        <v>230000</v>
      </c>
      <c r="G233" t="s">
        <v>202</v>
      </c>
    </row>
    <row r="234" spans="1:7" ht="16.5" thickBot="1" x14ac:dyDescent="0.3">
      <c r="A234" t="s">
        <v>150</v>
      </c>
      <c r="B234" t="s">
        <v>149</v>
      </c>
      <c r="C234" t="s">
        <v>564</v>
      </c>
      <c r="D234" t="s">
        <v>787</v>
      </c>
      <c r="E234" s="12">
        <v>45999</v>
      </c>
      <c r="F234">
        <v>230000</v>
      </c>
      <c r="G234" t="s">
        <v>202</v>
      </c>
    </row>
    <row r="235" spans="1:7" ht="16.5" thickBot="1" x14ac:dyDescent="0.3">
      <c r="A235" t="s">
        <v>150</v>
      </c>
      <c r="B235" t="s">
        <v>149</v>
      </c>
      <c r="C235" t="s">
        <v>565</v>
      </c>
      <c r="D235" t="s">
        <v>788</v>
      </c>
      <c r="E235" s="13">
        <v>46041</v>
      </c>
      <c r="F235">
        <v>230000</v>
      </c>
      <c r="G235" t="s">
        <v>202</v>
      </c>
    </row>
    <row r="236" spans="1:7" ht="16.5" thickBot="1" x14ac:dyDescent="0.3">
      <c r="A236" t="s">
        <v>150</v>
      </c>
      <c r="B236" t="s">
        <v>149</v>
      </c>
      <c r="C236" t="s">
        <v>566</v>
      </c>
      <c r="D236" t="s">
        <v>789</v>
      </c>
      <c r="E236" s="12">
        <v>46057</v>
      </c>
      <c r="F236">
        <v>230000</v>
      </c>
      <c r="G236" t="s">
        <v>202</v>
      </c>
    </row>
    <row r="237" spans="1:7" ht="16.5" thickBot="1" x14ac:dyDescent="0.3">
      <c r="A237" t="s">
        <v>150</v>
      </c>
      <c r="B237" t="s">
        <v>149</v>
      </c>
      <c r="C237" t="s">
        <v>567</v>
      </c>
      <c r="D237" t="s">
        <v>790</v>
      </c>
      <c r="E237" s="12">
        <v>46085</v>
      </c>
      <c r="F237">
        <v>230000</v>
      </c>
      <c r="G237" t="s">
        <v>202</v>
      </c>
    </row>
    <row r="238" spans="1:7" ht="16.5" thickBot="1" x14ac:dyDescent="0.3">
      <c r="A238" t="s">
        <v>150</v>
      </c>
      <c r="B238" t="s">
        <v>149</v>
      </c>
      <c r="C238" t="s">
        <v>568</v>
      </c>
      <c r="D238" t="s">
        <v>791</v>
      </c>
      <c r="E238" s="12">
        <v>46120</v>
      </c>
      <c r="F238">
        <v>230000</v>
      </c>
      <c r="G238" t="s">
        <v>202</v>
      </c>
    </row>
    <row r="239" spans="1:7" ht="16.5" thickBot="1" x14ac:dyDescent="0.3">
      <c r="A239" t="s">
        <v>154</v>
      </c>
      <c r="B239" t="s">
        <v>153</v>
      </c>
      <c r="C239" t="s">
        <v>569</v>
      </c>
      <c r="D239" t="s">
        <v>792</v>
      </c>
      <c r="E239" s="12">
        <v>45846</v>
      </c>
      <c r="F239">
        <v>230000</v>
      </c>
      <c r="G239" t="s">
        <v>202</v>
      </c>
    </row>
    <row r="240" spans="1:7" ht="16.5" thickBot="1" x14ac:dyDescent="0.3">
      <c r="A240" t="s">
        <v>154</v>
      </c>
      <c r="B240" t="s">
        <v>153</v>
      </c>
      <c r="C240" t="s">
        <v>570</v>
      </c>
      <c r="D240" t="s">
        <v>793</v>
      </c>
      <c r="E240" s="12">
        <v>45877</v>
      </c>
      <c r="F240">
        <v>230000</v>
      </c>
      <c r="G240" t="s">
        <v>202</v>
      </c>
    </row>
    <row r="241" spans="1:7" ht="16.5" thickBot="1" x14ac:dyDescent="0.3">
      <c r="A241" t="s">
        <v>154</v>
      </c>
      <c r="B241" t="s">
        <v>153</v>
      </c>
      <c r="C241" t="s">
        <v>571</v>
      </c>
      <c r="D241" t="s">
        <v>794</v>
      </c>
      <c r="E241" s="12">
        <v>45912</v>
      </c>
      <c r="F241">
        <v>230000</v>
      </c>
      <c r="G241" t="s">
        <v>202</v>
      </c>
    </row>
    <row r="242" spans="1:7" ht="16.5" thickBot="1" x14ac:dyDescent="0.3">
      <c r="A242" t="s">
        <v>154</v>
      </c>
      <c r="B242" t="s">
        <v>153</v>
      </c>
      <c r="C242" t="s">
        <v>572</v>
      </c>
      <c r="D242" t="s">
        <v>795</v>
      </c>
      <c r="E242" s="12">
        <v>45938</v>
      </c>
      <c r="F242">
        <v>230000</v>
      </c>
      <c r="G242" t="s">
        <v>202</v>
      </c>
    </row>
    <row r="243" spans="1:7" ht="16.5" thickBot="1" x14ac:dyDescent="0.3">
      <c r="A243" t="s">
        <v>154</v>
      </c>
      <c r="B243" t="s">
        <v>153</v>
      </c>
      <c r="C243" t="s">
        <v>573</v>
      </c>
      <c r="D243" t="s">
        <v>796</v>
      </c>
      <c r="E243" s="12">
        <v>45966</v>
      </c>
      <c r="F243">
        <v>230000</v>
      </c>
      <c r="G243" t="s">
        <v>202</v>
      </c>
    </row>
    <row r="244" spans="1:7" ht="16.5" thickBot="1" x14ac:dyDescent="0.3">
      <c r="A244" t="s">
        <v>154</v>
      </c>
      <c r="B244" t="s">
        <v>153</v>
      </c>
      <c r="C244" t="s">
        <v>574</v>
      </c>
      <c r="D244" t="s">
        <v>797</v>
      </c>
      <c r="E244" s="12">
        <v>45996</v>
      </c>
      <c r="F244">
        <v>230000</v>
      </c>
      <c r="G244" t="s">
        <v>202</v>
      </c>
    </row>
    <row r="245" spans="1:7" ht="16.5" thickBot="1" x14ac:dyDescent="0.3">
      <c r="A245" t="s">
        <v>154</v>
      </c>
      <c r="B245" t="s">
        <v>153</v>
      </c>
      <c r="C245" t="s">
        <v>575</v>
      </c>
      <c r="D245" t="s">
        <v>798</v>
      </c>
      <c r="E245" s="13">
        <v>46035</v>
      </c>
      <c r="F245">
        <v>230000</v>
      </c>
      <c r="G245" t="s">
        <v>202</v>
      </c>
    </row>
    <row r="246" spans="1:7" ht="16.5" thickBot="1" x14ac:dyDescent="0.3">
      <c r="A246" t="s">
        <v>154</v>
      </c>
      <c r="B246" t="s">
        <v>153</v>
      </c>
      <c r="C246" t="s">
        <v>576</v>
      </c>
      <c r="D246" t="s">
        <v>799</v>
      </c>
      <c r="E246" s="13">
        <v>46052</v>
      </c>
      <c r="F246">
        <v>230000</v>
      </c>
      <c r="G246" t="s">
        <v>202</v>
      </c>
    </row>
    <row r="247" spans="1:7" ht="16.5" thickBot="1" x14ac:dyDescent="0.3">
      <c r="A247" t="s">
        <v>154</v>
      </c>
      <c r="B247" t="s">
        <v>153</v>
      </c>
      <c r="C247" t="s">
        <v>577</v>
      </c>
      <c r="D247" t="s">
        <v>800</v>
      </c>
      <c r="E247" s="12">
        <v>46091</v>
      </c>
      <c r="F247">
        <v>230000</v>
      </c>
      <c r="G247" t="s">
        <v>202</v>
      </c>
    </row>
    <row r="248" spans="1:7" ht="16.5" thickBot="1" x14ac:dyDescent="0.3">
      <c r="A248" t="s">
        <v>154</v>
      </c>
      <c r="B248" t="s">
        <v>153</v>
      </c>
      <c r="C248" t="s">
        <v>578</v>
      </c>
      <c r="D248" t="s">
        <v>801</v>
      </c>
      <c r="E248" s="12">
        <v>46113</v>
      </c>
      <c r="F248">
        <v>230000</v>
      </c>
      <c r="G248" t="s">
        <v>202</v>
      </c>
    </row>
    <row r="249" spans="1:7" ht="16.5" thickBot="1" x14ac:dyDescent="0.3">
      <c r="A249" t="s">
        <v>160</v>
      </c>
      <c r="B249" t="s">
        <v>159</v>
      </c>
      <c r="C249" t="s">
        <v>579</v>
      </c>
      <c r="D249" t="s">
        <v>803</v>
      </c>
      <c r="E249" s="12">
        <v>45872</v>
      </c>
      <c r="F249">
        <v>230000</v>
      </c>
      <c r="G249" t="s">
        <v>202</v>
      </c>
    </row>
    <row r="250" spans="1:7" ht="16.5" thickBot="1" x14ac:dyDescent="0.3">
      <c r="A250" t="s">
        <v>160</v>
      </c>
      <c r="B250" t="s">
        <v>159</v>
      </c>
      <c r="C250" t="s">
        <v>580</v>
      </c>
      <c r="D250" t="s">
        <v>804</v>
      </c>
      <c r="E250" s="12">
        <v>45903</v>
      </c>
      <c r="F250">
        <v>230000</v>
      </c>
      <c r="G250" t="s">
        <v>202</v>
      </c>
    </row>
    <row r="251" spans="1:7" ht="16.5" thickBot="1" x14ac:dyDescent="0.3">
      <c r="A251" t="s">
        <v>160</v>
      </c>
      <c r="B251" t="s">
        <v>159</v>
      </c>
      <c r="C251" t="s">
        <v>581</v>
      </c>
      <c r="D251" t="s">
        <v>805</v>
      </c>
      <c r="E251" s="12">
        <v>45931</v>
      </c>
      <c r="F251">
        <v>230000</v>
      </c>
      <c r="G251" t="s">
        <v>202</v>
      </c>
    </row>
    <row r="252" spans="1:7" ht="16.5" thickBot="1" x14ac:dyDescent="0.3">
      <c r="A252" t="s">
        <v>160</v>
      </c>
      <c r="B252" t="s">
        <v>159</v>
      </c>
      <c r="C252" t="s">
        <v>582</v>
      </c>
      <c r="D252" t="s">
        <v>806</v>
      </c>
      <c r="E252" s="12">
        <v>45964</v>
      </c>
      <c r="F252">
        <v>230000</v>
      </c>
      <c r="G252" t="s">
        <v>202</v>
      </c>
    </row>
    <row r="253" spans="1:7" ht="16.5" thickBot="1" x14ac:dyDescent="0.3">
      <c r="A253" t="s">
        <v>160</v>
      </c>
      <c r="B253" t="s">
        <v>159</v>
      </c>
      <c r="C253" t="s">
        <v>583</v>
      </c>
      <c r="D253" t="s">
        <v>807</v>
      </c>
      <c r="E253" s="12">
        <v>45992</v>
      </c>
      <c r="F253">
        <v>230000</v>
      </c>
      <c r="G253" t="s">
        <v>202</v>
      </c>
    </row>
    <row r="254" spans="1:7" ht="16.5" thickBot="1" x14ac:dyDescent="0.3">
      <c r="A254" t="s">
        <v>160</v>
      </c>
      <c r="B254" t="s">
        <v>159</v>
      </c>
      <c r="C254" t="s">
        <v>584</v>
      </c>
      <c r="D254" t="s">
        <v>808</v>
      </c>
      <c r="E254" s="12">
        <v>46023</v>
      </c>
      <c r="F254">
        <v>230000</v>
      </c>
      <c r="G254" t="s">
        <v>202</v>
      </c>
    </row>
    <row r="255" spans="1:7" ht="16.5" thickBot="1" x14ac:dyDescent="0.3">
      <c r="A255" t="s">
        <v>160</v>
      </c>
      <c r="B255" t="s">
        <v>159</v>
      </c>
      <c r="C255" t="s">
        <v>585</v>
      </c>
      <c r="D255" t="s">
        <v>809</v>
      </c>
      <c r="E255" s="12">
        <v>46057</v>
      </c>
      <c r="F255">
        <v>230000</v>
      </c>
      <c r="G255" t="s">
        <v>202</v>
      </c>
    </row>
    <row r="256" spans="1:7" ht="16.5" thickBot="1" x14ac:dyDescent="0.3">
      <c r="A256" t="s">
        <v>160</v>
      </c>
      <c r="B256" t="s">
        <v>159</v>
      </c>
      <c r="C256" t="s">
        <v>586</v>
      </c>
      <c r="D256" t="s">
        <v>810</v>
      </c>
      <c r="E256" s="12">
        <v>46084</v>
      </c>
      <c r="F256">
        <v>230000</v>
      </c>
      <c r="G256" t="s">
        <v>202</v>
      </c>
    </row>
    <row r="257" spans="1:7" ht="16.5" thickBot="1" x14ac:dyDescent="0.3">
      <c r="A257" t="s">
        <v>160</v>
      </c>
      <c r="B257" t="s">
        <v>159</v>
      </c>
      <c r="C257" t="s">
        <v>587</v>
      </c>
      <c r="D257" t="s">
        <v>811</v>
      </c>
      <c r="E257" s="12">
        <v>46113</v>
      </c>
      <c r="F257">
        <v>230000</v>
      </c>
      <c r="G257" t="s">
        <v>202</v>
      </c>
    </row>
    <row r="258" spans="1:7" ht="16.5" thickBot="1" x14ac:dyDescent="0.3">
      <c r="A258" t="s">
        <v>164</v>
      </c>
      <c r="B258" t="s">
        <v>163</v>
      </c>
      <c r="C258" t="s">
        <v>588</v>
      </c>
      <c r="D258" t="s">
        <v>813</v>
      </c>
      <c r="E258" s="12">
        <v>45880</v>
      </c>
      <c r="F258">
        <v>230000</v>
      </c>
      <c r="G258" t="s">
        <v>202</v>
      </c>
    </row>
    <row r="259" spans="1:7" ht="16.5" thickBot="1" x14ac:dyDescent="0.3">
      <c r="A259" t="s">
        <v>164</v>
      </c>
      <c r="B259" t="s">
        <v>163</v>
      </c>
      <c r="C259" t="s">
        <v>589</v>
      </c>
      <c r="D259" t="s">
        <v>814</v>
      </c>
      <c r="E259" s="12">
        <v>45903</v>
      </c>
      <c r="F259">
        <v>230000</v>
      </c>
      <c r="G259" t="s">
        <v>202</v>
      </c>
    </row>
    <row r="260" spans="1:7" ht="16.5" thickBot="1" x14ac:dyDescent="0.3">
      <c r="A260" t="s">
        <v>164</v>
      </c>
      <c r="B260" t="s">
        <v>163</v>
      </c>
      <c r="C260" t="s">
        <v>590</v>
      </c>
      <c r="D260" t="s">
        <v>815</v>
      </c>
      <c r="E260" s="12">
        <v>45937</v>
      </c>
      <c r="F260">
        <v>230000</v>
      </c>
      <c r="G260" t="s">
        <v>202</v>
      </c>
    </row>
    <row r="261" spans="1:7" ht="16.5" thickBot="1" x14ac:dyDescent="0.3">
      <c r="A261" t="s">
        <v>164</v>
      </c>
      <c r="B261" t="s">
        <v>163</v>
      </c>
      <c r="C261" t="s">
        <v>591</v>
      </c>
      <c r="D261" t="s">
        <v>816</v>
      </c>
      <c r="E261" s="12">
        <v>45968</v>
      </c>
      <c r="F261">
        <v>230000</v>
      </c>
      <c r="G261" t="s">
        <v>202</v>
      </c>
    </row>
    <row r="262" spans="1:7" ht="16.5" thickBot="1" x14ac:dyDescent="0.3">
      <c r="A262" t="s">
        <v>164</v>
      </c>
      <c r="B262" t="s">
        <v>163</v>
      </c>
      <c r="C262" t="s">
        <v>592</v>
      </c>
      <c r="D262" t="s">
        <v>817</v>
      </c>
      <c r="E262" s="12">
        <v>46001</v>
      </c>
      <c r="F262">
        <v>230000</v>
      </c>
      <c r="G262" t="s">
        <v>202</v>
      </c>
    </row>
    <row r="263" spans="1:7" ht="16.5" thickBot="1" x14ac:dyDescent="0.3">
      <c r="A263" t="s">
        <v>164</v>
      </c>
      <c r="B263" t="s">
        <v>163</v>
      </c>
      <c r="C263" t="s">
        <v>593</v>
      </c>
      <c r="D263" t="s">
        <v>818</v>
      </c>
      <c r="E263" s="12">
        <v>46034</v>
      </c>
      <c r="F263">
        <v>230000</v>
      </c>
      <c r="G263" t="s">
        <v>202</v>
      </c>
    </row>
    <row r="264" spans="1:7" ht="16.5" thickBot="1" x14ac:dyDescent="0.3">
      <c r="A264" t="s">
        <v>164</v>
      </c>
      <c r="B264" t="s">
        <v>163</v>
      </c>
      <c r="C264" t="s">
        <v>594</v>
      </c>
      <c r="D264" t="s">
        <v>819</v>
      </c>
      <c r="E264" s="12">
        <v>46060</v>
      </c>
      <c r="F264">
        <v>230000</v>
      </c>
      <c r="G264" t="s">
        <v>202</v>
      </c>
    </row>
    <row r="265" spans="1:7" ht="16.5" thickBot="1" x14ac:dyDescent="0.3">
      <c r="A265" t="s">
        <v>164</v>
      </c>
      <c r="B265" t="s">
        <v>163</v>
      </c>
      <c r="C265" t="s">
        <v>595</v>
      </c>
      <c r="D265" t="s">
        <v>820</v>
      </c>
      <c r="E265" s="12">
        <v>46091</v>
      </c>
      <c r="F265">
        <v>230000</v>
      </c>
      <c r="G265" t="s">
        <v>202</v>
      </c>
    </row>
    <row r="266" spans="1:7" ht="16.5" thickBot="1" x14ac:dyDescent="0.3">
      <c r="A266" t="s">
        <v>164</v>
      </c>
      <c r="B266" t="s">
        <v>163</v>
      </c>
      <c r="C266" t="s">
        <v>596</v>
      </c>
      <c r="D266" t="s">
        <v>821</v>
      </c>
      <c r="E266" s="12">
        <v>46114</v>
      </c>
      <c r="F266">
        <v>230000</v>
      </c>
      <c r="G266" t="s">
        <v>202</v>
      </c>
    </row>
    <row r="267" spans="1:7" ht="16.5" thickBot="1" x14ac:dyDescent="0.3">
      <c r="A267" t="s">
        <v>168</v>
      </c>
      <c r="B267" t="s">
        <v>167</v>
      </c>
      <c r="C267" t="s">
        <v>597</v>
      </c>
      <c r="D267" t="s">
        <v>823</v>
      </c>
      <c r="E267" s="13">
        <v>45921</v>
      </c>
      <c r="F267">
        <v>230000</v>
      </c>
      <c r="G267" t="s">
        <v>202</v>
      </c>
    </row>
    <row r="268" spans="1:7" ht="16.5" thickBot="1" x14ac:dyDescent="0.3">
      <c r="A268" t="s">
        <v>168</v>
      </c>
      <c r="B268" t="s">
        <v>167</v>
      </c>
      <c r="C268" t="s">
        <v>598</v>
      </c>
      <c r="D268" t="s">
        <v>824</v>
      </c>
      <c r="E268" s="13">
        <v>45952</v>
      </c>
      <c r="F268">
        <v>230000</v>
      </c>
      <c r="G268" t="s">
        <v>202</v>
      </c>
    </row>
    <row r="269" spans="1:7" ht="16.5" thickBot="1" x14ac:dyDescent="0.3">
      <c r="A269" t="s">
        <v>168</v>
      </c>
      <c r="B269" t="s">
        <v>167</v>
      </c>
      <c r="C269" t="s">
        <v>599</v>
      </c>
      <c r="D269" t="s">
        <v>825</v>
      </c>
      <c r="E269" s="13">
        <v>45952</v>
      </c>
      <c r="F269">
        <v>230000</v>
      </c>
      <c r="G269" t="s">
        <v>202</v>
      </c>
    </row>
    <row r="270" spans="1:7" ht="16.5" thickBot="1" x14ac:dyDescent="0.3">
      <c r="A270" t="s">
        <v>168</v>
      </c>
      <c r="B270" t="s">
        <v>167</v>
      </c>
      <c r="C270" t="s">
        <v>600</v>
      </c>
      <c r="D270" t="s">
        <v>826</v>
      </c>
      <c r="E270" s="13">
        <v>46126</v>
      </c>
      <c r="F270">
        <v>230000</v>
      </c>
      <c r="G270" t="s">
        <v>202</v>
      </c>
    </row>
    <row r="271" spans="1:7" ht="16.5" thickBot="1" x14ac:dyDescent="0.3">
      <c r="A271" t="s">
        <v>168</v>
      </c>
      <c r="B271" t="s">
        <v>167</v>
      </c>
      <c r="C271" t="s">
        <v>601</v>
      </c>
      <c r="D271" t="s">
        <v>827</v>
      </c>
      <c r="E271" s="13">
        <v>46126</v>
      </c>
      <c r="F271">
        <v>230000</v>
      </c>
      <c r="G271" t="s">
        <v>202</v>
      </c>
    </row>
    <row r="272" spans="1:7" ht="16.5" thickBot="1" x14ac:dyDescent="0.3">
      <c r="A272" t="s">
        <v>168</v>
      </c>
      <c r="B272" t="s">
        <v>167</v>
      </c>
      <c r="C272" t="s">
        <v>602</v>
      </c>
      <c r="D272" t="s">
        <v>828</v>
      </c>
      <c r="E272" s="13">
        <v>46126</v>
      </c>
      <c r="F272">
        <v>230000</v>
      </c>
      <c r="G272" t="s">
        <v>202</v>
      </c>
    </row>
    <row r="273" spans="1:7" ht="16.5" thickBot="1" x14ac:dyDescent="0.3">
      <c r="A273" t="s">
        <v>168</v>
      </c>
      <c r="B273" t="s">
        <v>167</v>
      </c>
      <c r="C273" t="s">
        <v>603</v>
      </c>
      <c r="D273" t="s">
        <v>829</v>
      </c>
      <c r="E273" s="13">
        <v>46126</v>
      </c>
      <c r="F273">
        <v>230000</v>
      </c>
      <c r="G273" t="s">
        <v>202</v>
      </c>
    </row>
    <row r="274" spans="1:7" ht="16.5" thickBot="1" x14ac:dyDescent="0.3">
      <c r="A274" t="s">
        <v>170</v>
      </c>
      <c r="B274" t="s">
        <v>169</v>
      </c>
      <c r="C274" t="s">
        <v>604</v>
      </c>
      <c r="D274" t="s">
        <v>831</v>
      </c>
      <c r="E274" s="12">
        <v>45873</v>
      </c>
      <c r="F274">
        <v>230000</v>
      </c>
      <c r="G274" t="s">
        <v>202</v>
      </c>
    </row>
    <row r="275" spans="1:7" ht="16.5" thickBot="1" x14ac:dyDescent="0.3">
      <c r="A275" t="s">
        <v>170</v>
      </c>
      <c r="B275" t="s">
        <v>169</v>
      </c>
      <c r="C275" t="s">
        <v>605</v>
      </c>
      <c r="D275" t="s">
        <v>832</v>
      </c>
      <c r="E275" s="13">
        <v>45926</v>
      </c>
      <c r="F275">
        <v>230000</v>
      </c>
      <c r="G275" t="s">
        <v>202</v>
      </c>
    </row>
    <row r="276" spans="1:7" ht="16.5" thickBot="1" x14ac:dyDescent="0.3">
      <c r="A276" t="s">
        <v>170</v>
      </c>
      <c r="B276" t="s">
        <v>169</v>
      </c>
      <c r="C276" t="s">
        <v>606</v>
      </c>
      <c r="D276" t="s">
        <v>833</v>
      </c>
      <c r="E276" s="13">
        <v>45943</v>
      </c>
      <c r="F276">
        <v>230000</v>
      </c>
      <c r="G276" t="s">
        <v>202</v>
      </c>
    </row>
    <row r="277" spans="1:7" ht="16.5" thickBot="1" x14ac:dyDescent="0.3">
      <c r="A277" t="s">
        <v>170</v>
      </c>
      <c r="B277" t="s">
        <v>169</v>
      </c>
      <c r="C277" t="s">
        <v>607</v>
      </c>
      <c r="D277" t="s">
        <v>834</v>
      </c>
      <c r="E277" s="13">
        <v>45943</v>
      </c>
      <c r="F277">
        <v>230000</v>
      </c>
      <c r="G277" t="s">
        <v>202</v>
      </c>
    </row>
    <row r="278" spans="1:7" ht="16.5" thickBot="1" x14ac:dyDescent="0.3">
      <c r="A278" t="s">
        <v>170</v>
      </c>
      <c r="B278" t="s">
        <v>169</v>
      </c>
      <c r="C278" t="s">
        <v>608</v>
      </c>
      <c r="D278" t="s">
        <v>835</v>
      </c>
      <c r="E278" s="13">
        <v>45943</v>
      </c>
      <c r="F278">
        <v>230000</v>
      </c>
      <c r="G278" t="s">
        <v>202</v>
      </c>
    </row>
    <row r="279" spans="1:7" ht="16.5" thickBot="1" x14ac:dyDescent="0.3">
      <c r="A279" t="s">
        <v>170</v>
      </c>
      <c r="B279" t="s">
        <v>169</v>
      </c>
      <c r="C279" t="s">
        <v>609</v>
      </c>
      <c r="D279" t="s">
        <v>836</v>
      </c>
      <c r="E279" s="12">
        <v>46028</v>
      </c>
      <c r="F279">
        <v>230000</v>
      </c>
      <c r="G279" t="s">
        <v>202</v>
      </c>
    </row>
    <row r="280" spans="1:7" ht="16.5" thickBot="1" x14ac:dyDescent="0.3">
      <c r="A280" t="s">
        <v>170</v>
      </c>
      <c r="B280" t="s">
        <v>169</v>
      </c>
      <c r="C280" t="s">
        <v>610</v>
      </c>
      <c r="D280" t="s">
        <v>837</v>
      </c>
      <c r="E280" s="13">
        <v>46051</v>
      </c>
      <c r="F280">
        <v>230000</v>
      </c>
      <c r="G280" t="s">
        <v>202</v>
      </c>
    </row>
    <row r="281" spans="1:7" ht="16.5" thickBot="1" x14ac:dyDescent="0.3">
      <c r="A281" t="s">
        <v>170</v>
      </c>
      <c r="B281" t="s">
        <v>169</v>
      </c>
      <c r="C281" t="s">
        <v>611</v>
      </c>
      <c r="D281" t="s">
        <v>838</v>
      </c>
      <c r="E281" s="12">
        <v>46060</v>
      </c>
      <c r="F281">
        <v>230000</v>
      </c>
      <c r="G281" t="s">
        <v>202</v>
      </c>
    </row>
    <row r="282" spans="1:7" ht="16.5" thickBot="1" x14ac:dyDescent="0.3">
      <c r="A282" t="s">
        <v>170</v>
      </c>
      <c r="B282" t="s">
        <v>169</v>
      </c>
      <c r="C282" t="s">
        <v>612</v>
      </c>
      <c r="D282" t="s">
        <v>839</v>
      </c>
      <c r="E282" s="13">
        <v>46100</v>
      </c>
      <c r="F282">
        <v>230000</v>
      </c>
      <c r="G282" t="s">
        <v>202</v>
      </c>
    </row>
    <row r="283" spans="1:7" ht="16.5" thickBot="1" x14ac:dyDescent="0.3">
      <c r="A283" t="s">
        <v>122</v>
      </c>
      <c r="B283" t="s">
        <v>121</v>
      </c>
      <c r="C283" t="s">
        <v>613</v>
      </c>
      <c r="D283" t="s">
        <v>840</v>
      </c>
      <c r="E283" s="12">
        <v>45872</v>
      </c>
      <c r="F283">
        <v>230000</v>
      </c>
      <c r="G283" t="s">
        <v>202</v>
      </c>
    </row>
    <row r="284" spans="1:7" ht="16.5" thickBot="1" x14ac:dyDescent="0.3">
      <c r="A284" t="s">
        <v>122</v>
      </c>
      <c r="B284" t="s">
        <v>121</v>
      </c>
      <c r="C284" t="s">
        <v>614</v>
      </c>
      <c r="D284" t="s">
        <v>841</v>
      </c>
      <c r="E284" s="12">
        <v>45936</v>
      </c>
      <c r="F284">
        <v>230000</v>
      </c>
      <c r="G284" t="s">
        <v>202</v>
      </c>
    </row>
    <row r="285" spans="1:7" ht="16.5" thickBot="1" x14ac:dyDescent="0.3">
      <c r="A285" t="s">
        <v>122</v>
      </c>
      <c r="B285" t="s">
        <v>121</v>
      </c>
      <c r="C285" t="s">
        <v>615</v>
      </c>
      <c r="D285" t="s">
        <v>842</v>
      </c>
      <c r="E285" s="12">
        <v>45967</v>
      </c>
      <c r="F285">
        <v>230000</v>
      </c>
      <c r="G285" t="s">
        <v>202</v>
      </c>
    </row>
    <row r="286" spans="1:7" ht="16.5" thickBot="1" x14ac:dyDescent="0.3">
      <c r="A286" t="s">
        <v>122</v>
      </c>
      <c r="B286" t="s">
        <v>121</v>
      </c>
      <c r="C286" t="s">
        <v>616</v>
      </c>
      <c r="D286" t="s">
        <v>843</v>
      </c>
      <c r="E286" s="12">
        <v>45995</v>
      </c>
      <c r="F286">
        <v>230000</v>
      </c>
      <c r="G286" t="s">
        <v>202</v>
      </c>
    </row>
    <row r="287" spans="1:7" ht="16.5" thickBot="1" x14ac:dyDescent="0.3">
      <c r="A287" t="s">
        <v>122</v>
      </c>
      <c r="B287" t="s">
        <v>121</v>
      </c>
      <c r="C287" t="s">
        <v>617</v>
      </c>
      <c r="D287" t="s">
        <v>844</v>
      </c>
      <c r="E287" s="12">
        <v>46028</v>
      </c>
      <c r="F287">
        <v>230000</v>
      </c>
      <c r="G287" t="s">
        <v>202</v>
      </c>
    </row>
    <row r="288" spans="1:7" ht="16.5" thickBot="1" x14ac:dyDescent="0.3">
      <c r="A288" t="s">
        <v>122</v>
      </c>
      <c r="B288" t="s">
        <v>121</v>
      </c>
      <c r="C288" t="s">
        <v>618</v>
      </c>
      <c r="D288" t="s">
        <v>845</v>
      </c>
      <c r="E288" s="13">
        <v>46067</v>
      </c>
      <c r="F288">
        <v>230000</v>
      </c>
      <c r="G288" t="s">
        <v>202</v>
      </c>
    </row>
    <row r="289" spans="1:7" ht="16.5" thickBot="1" x14ac:dyDescent="0.3">
      <c r="A289" t="s">
        <v>122</v>
      </c>
      <c r="B289" t="s">
        <v>121</v>
      </c>
      <c r="C289" t="s">
        <v>619</v>
      </c>
      <c r="D289" t="s">
        <v>846</v>
      </c>
      <c r="E289" s="12">
        <v>46085</v>
      </c>
      <c r="F289">
        <v>230000</v>
      </c>
      <c r="G289" t="s">
        <v>202</v>
      </c>
    </row>
    <row r="290" spans="1:7" ht="16.5" thickBot="1" x14ac:dyDescent="0.3">
      <c r="A290" t="s">
        <v>122</v>
      </c>
      <c r="B290" t="s">
        <v>121</v>
      </c>
      <c r="C290" t="s">
        <v>620</v>
      </c>
      <c r="D290" t="s">
        <v>847</v>
      </c>
      <c r="E290" s="12">
        <v>46122</v>
      </c>
      <c r="F290">
        <v>230000</v>
      </c>
      <c r="G290" t="s">
        <v>202</v>
      </c>
    </row>
    <row r="291" spans="1:7" ht="16.5" thickBot="1" x14ac:dyDescent="0.3">
      <c r="A291" t="s">
        <v>174</v>
      </c>
      <c r="B291" t="s">
        <v>173</v>
      </c>
      <c r="C291" t="s">
        <v>621</v>
      </c>
      <c r="D291" t="s">
        <v>848</v>
      </c>
      <c r="E291" s="12">
        <v>45966</v>
      </c>
      <c r="F291">
        <v>230000</v>
      </c>
      <c r="G291" t="s">
        <v>202</v>
      </c>
    </row>
    <row r="292" spans="1:7" ht="16.5" thickBot="1" x14ac:dyDescent="0.3">
      <c r="A292" t="s">
        <v>174</v>
      </c>
      <c r="B292" t="s">
        <v>173</v>
      </c>
      <c r="C292" t="s">
        <v>622</v>
      </c>
      <c r="D292" t="s">
        <v>849</v>
      </c>
      <c r="E292" s="12">
        <v>45994</v>
      </c>
      <c r="F292">
        <v>230000</v>
      </c>
      <c r="G292" t="s">
        <v>202</v>
      </c>
    </row>
    <row r="293" spans="1:7" ht="16.5" thickBot="1" x14ac:dyDescent="0.3">
      <c r="A293" t="s">
        <v>174</v>
      </c>
      <c r="B293" t="s">
        <v>173</v>
      </c>
      <c r="C293" t="s">
        <v>623</v>
      </c>
      <c r="D293" t="s">
        <v>850</v>
      </c>
      <c r="E293" s="12">
        <v>46031</v>
      </c>
      <c r="F293">
        <v>230000</v>
      </c>
      <c r="G293" t="s">
        <v>202</v>
      </c>
    </row>
    <row r="294" spans="1:7" ht="16.5" thickBot="1" x14ac:dyDescent="0.3">
      <c r="A294" t="s">
        <v>174</v>
      </c>
      <c r="B294" t="s">
        <v>173</v>
      </c>
      <c r="C294" t="s">
        <v>624</v>
      </c>
      <c r="D294" t="s">
        <v>851</v>
      </c>
      <c r="E294" s="12">
        <v>46057</v>
      </c>
      <c r="F294">
        <v>230000</v>
      </c>
      <c r="G294" t="s">
        <v>202</v>
      </c>
    </row>
    <row r="295" spans="1:7" ht="16.5" thickBot="1" x14ac:dyDescent="0.3">
      <c r="A295" t="s">
        <v>174</v>
      </c>
      <c r="B295" t="s">
        <v>173</v>
      </c>
      <c r="C295" t="s">
        <v>625</v>
      </c>
      <c r="D295" t="s">
        <v>852</v>
      </c>
      <c r="E295" s="12">
        <v>46082</v>
      </c>
      <c r="F295">
        <v>230000</v>
      </c>
      <c r="G295" t="s">
        <v>202</v>
      </c>
    </row>
    <row r="296" spans="1:7" ht="16.5" thickBot="1" x14ac:dyDescent="0.3">
      <c r="A296" t="s">
        <v>174</v>
      </c>
      <c r="B296" t="s">
        <v>173</v>
      </c>
      <c r="C296" t="s">
        <v>626</v>
      </c>
      <c r="D296" t="s">
        <v>853</v>
      </c>
      <c r="E296" s="12">
        <v>46118</v>
      </c>
      <c r="F296">
        <v>230000</v>
      </c>
      <c r="G296" t="s">
        <v>202</v>
      </c>
    </row>
    <row r="297" spans="1:7" ht="16.5" thickBot="1" x14ac:dyDescent="0.3">
      <c r="A297" t="s">
        <v>39</v>
      </c>
      <c r="B297" t="s">
        <v>195</v>
      </c>
      <c r="C297" t="s">
        <v>627</v>
      </c>
      <c r="D297" t="s">
        <v>854</v>
      </c>
      <c r="E297" s="12">
        <v>46087</v>
      </c>
      <c r="F297">
        <v>230000</v>
      </c>
      <c r="G297" t="s">
        <v>202</v>
      </c>
    </row>
    <row r="298" spans="1:7" ht="16.5" thickBot="1" x14ac:dyDescent="0.3">
      <c r="A298" t="s">
        <v>39</v>
      </c>
      <c r="B298" t="s">
        <v>195</v>
      </c>
      <c r="C298" t="s">
        <v>628</v>
      </c>
      <c r="D298" t="s">
        <v>855</v>
      </c>
      <c r="E298" s="12">
        <v>46090</v>
      </c>
      <c r="F298">
        <v>230000</v>
      </c>
      <c r="G298" t="s">
        <v>202</v>
      </c>
    </row>
    <row r="299" spans="1:7" ht="16.5" thickBot="1" x14ac:dyDescent="0.3">
      <c r="A299" t="s">
        <v>39</v>
      </c>
      <c r="B299" t="s">
        <v>195</v>
      </c>
      <c r="C299" t="s">
        <v>629</v>
      </c>
      <c r="D299" t="s">
        <v>856</v>
      </c>
      <c r="E299" s="12">
        <v>46114</v>
      </c>
      <c r="F299">
        <v>230000</v>
      </c>
      <c r="G299" t="s">
        <v>202</v>
      </c>
    </row>
    <row r="300" spans="1:7" ht="16.5" thickBot="1" x14ac:dyDescent="0.3">
      <c r="A300" t="s">
        <v>158</v>
      </c>
      <c r="B300" t="s">
        <v>157</v>
      </c>
      <c r="C300" t="s">
        <v>630</v>
      </c>
      <c r="D300" t="s">
        <v>857</v>
      </c>
      <c r="E300" s="15">
        <v>46123</v>
      </c>
      <c r="F300">
        <v>230000</v>
      </c>
      <c r="G300" t="s">
        <v>202</v>
      </c>
    </row>
    <row r="301" spans="1:7" ht="16.5" thickBot="1" x14ac:dyDescent="0.3">
      <c r="A301" t="s">
        <v>80</v>
      </c>
      <c r="C301" t="s">
        <v>873</v>
      </c>
      <c r="D301" t="s">
        <v>858</v>
      </c>
      <c r="E301" s="12">
        <v>46118</v>
      </c>
      <c r="F301">
        <v>155000</v>
      </c>
      <c r="G301" t="s">
        <v>631</v>
      </c>
    </row>
    <row r="302" spans="1:7" ht="16.5" thickBot="1" x14ac:dyDescent="0.3">
      <c r="A302" t="s">
        <v>68</v>
      </c>
      <c r="C302" t="s">
        <v>874</v>
      </c>
      <c r="D302" t="s">
        <v>859</v>
      </c>
      <c r="E302" s="12">
        <v>46118</v>
      </c>
      <c r="F302">
        <v>155000</v>
      </c>
      <c r="G302" t="s">
        <v>202</v>
      </c>
    </row>
    <row r="303" spans="1:7" ht="16.5" thickBot="1" x14ac:dyDescent="0.3">
      <c r="A303" t="s">
        <v>55</v>
      </c>
      <c r="C303" t="s">
        <v>875</v>
      </c>
      <c r="D303" t="s">
        <v>860</v>
      </c>
      <c r="E303" s="12">
        <v>46118</v>
      </c>
      <c r="F303">
        <v>155000</v>
      </c>
      <c r="G303" t="s">
        <v>202</v>
      </c>
    </row>
    <row r="304" spans="1:7" ht="16.5" thickBot="1" x14ac:dyDescent="0.3">
      <c r="A304" t="s">
        <v>88</v>
      </c>
      <c r="C304" t="s">
        <v>876</v>
      </c>
      <c r="D304" t="s">
        <v>861</v>
      </c>
      <c r="E304" s="12">
        <v>46119</v>
      </c>
      <c r="F304">
        <v>155000</v>
      </c>
      <c r="G304" t="s">
        <v>205</v>
      </c>
    </row>
    <row r="305" spans="1:7" ht="16.5" thickBot="1" x14ac:dyDescent="0.3">
      <c r="A305" t="s">
        <v>30</v>
      </c>
      <c r="C305" t="s">
        <v>877</v>
      </c>
      <c r="D305" t="s">
        <v>862</v>
      </c>
      <c r="E305" s="12">
        <v>46120</v>
      </c>
      <c r="F305">
        <v>155000</v>
      </c>
      <c r="G305" t="s">
        <v>202</v>
      </c>
    </row>
    <row r="306" spans="1:7" ht="16.5" thickBot="1" x14ac:dyDescent="0.3">
      <c r="A306" t="s">
        <v>632</v>
      </c>
      <c r="C306" t="s">
        <v>878</v>
      </c>
      <c r="D306" t="s">
        <v>863</v>
      </c>
      <c r="E306" s="12">
        <v>46120</v>
      </c>
      <c r="F306">
        <v>155000</v>
      </c>
      <c r="G306" t="s">
        <v>202</v>
      </c>
    </row>
    <row r="307" spans="1:7" ht="16.5" thickBot="1" x14ac:dyDescent="0.3">
      <c r="A307" t="s">
        <v>633</v>
      </c>
      <c r="C307" t="s">
        <v>879</v>
      </c>
      <c r="D307" t="s">
        <v>864</v>
      </c>
      <c r="E307" s="12">
        <v>46120</v>
      </c>
      <c r="F307">
        <v>155000</v>
      </c>
      <c r="G307" t="s">
        <v>205</v>
      </c>
    </row>
    <row r="308" spans="1:7" ht="16.5" thickBot="1" x14ac:dyDescent="0.3">
      <c r="A308" t="s">
        <v>160</v>
      </c>
      <c r="C308" t="s">
        <v>880</v>
      </c>
      <c r="D308" t="s">
        <v>865</v>
      </c>
      <c r="E308" s="12">
        <v>46121</v>
      </c>
      <c r="F308">
        <v>155000</v>
      </c>
      <c r="G308" t="s">
        <v>202</v>
      </c>
    </row>
    <row r="309" spans="1:7" ht="16.5" thickBot="1" x14ac:dyDescent="0.3">
      <c r="A309" t="s">
        <v>76</v>
      </c>
      <c r="C309" t="s">
        <v>881</v>
      </c>
      <c r="D309" t="s">
        <v>866</v>
      </c>
      <c r="E309" s="12">
        <v>46121</v>
      </c>
      <c r="F309">
        <v>155000</v>
      </c>
      <c r="G309" t="s">
        <v>202</v>
      </c>
    </row>
    <row r="310" spans="1:7" ht="16.5" thickBot="1" x14ac:dyDescent="0.3">
      <c r="A310" t="s">
        <v>106</v>
      </c>
      <c r="C310" t="s">
        <v>882</v>
      </c>
      <c r="D310" t="s">
        <v>867</v>
      </c>
      <c r="E310" s="12">
        <v>46121</v>
      </c>
      <c r="F310">
        <v>155000</v>
      </c>
      <c r="G310" t="s">
        <v>202</v>
      </c>
    </row>
    <row r="311" spans="1:7" ht="16.5" thickBot="1" x14ac:dyDescent="0.3">
      <c r="A311" t="s">
        <v>35</v>
      </c>
      <c r="C311" t="s">
        <v>883</v>
      </c>
      <c r="D311" t="s">
        <v>868</v>
      </c>
      <c r="E311" s="12">
        <v>46122</v>
      </c>
      <c r="F311">
        <v>155000</v>
      </c>
      <c r="G311" t="s">
        <v>202</v>
      </c>
    </row>
    <row r="312" spans="1:7" ht="16.5" thickBot="1" x14ac:dyDescent="0.3">
      <c r="A312" t="s">
        <v>134</v>
      </c>
      <c r="C312" t="s">
        <v>884</v>
      </c>
      <c r="D312" t="s">
        <v>869</v>
      </c>
      <c r="E312" s="12">
        <v>46122</v>
      </c>
      <c r="F312">
        <v>155000</v>
      </c>
      <c r="G312" t="s">
        <v>205</v>
      </c>
    </row>
    <row r="313" spans="1:7" ht="16.5" thickBot="1" x14ac:dyDescent="0.3">
      <c r="A313" t="s">
        <v>158</v>
      </c>
      <c r="C313" t="s">
        <v>885</v>
      </c>
      <c r="D313" t="s">
        <v>870</v>
      </c>
      <c r="E313" s="12">
        <v>46122</v>
      </c>
      <c r="F313">
        <v>155000</v>
      </c>
      <c r="G313" t="s">
        <v>205</v>
      </c>
    </row>
    <row r="314" spans="1:7" ht="16.5" thickBot="1" x14ac:dyDescent="0.3">
      <c r="A314" t="s">
        <v>39</v>
      </c>
      <c r="C314" t="s">
        <v>886</v>
      </c>
      <c r="D314" t="s">
        <v>871</v>
      </c>
      <c r="E314" s="12">
        <v>46122</v>
      </c>
      <c r="F314">
        <v>155000</v>
      </c>
      <c r="G314" t="s">
        <v>205</v>
      </c>
    </row>
    <row r="315" spans="1:7" ht="16.5" thickBot="1" x14ac:dyDescent="0.3">
      <c r="A315" t="s">
        <v>138</v>
      </c>
      <c r="C315" t="s">
        <v>887</v>
      </c>
      <c r="D315" t="s">
        <v>872</v>
      </c>
      <c r="E315" s="13">
        <v>46125</v>
      </c>
      <c r="F315">
        <v>155000</v>
      </c>
      <c r="G315" t="s">
        <v>631</v>
      </c>
    </row>
    <row r="316" spans="1:7" ht="16.5" thickBot="1" x14ac:dyDescent="0.3">
      <c r="A316" t="s">
        <v>72</v>
      </c>
      <c r="C316" t="s">
        <v>888</v>
      </c>
      <c r="D316" t="s">
        <v>891</v>
      </c>
      <c r="E316" s="13">
        <v>46129</v>
      </c>
      <c r="F316">
        <v>155000</v>
      </c>
      <c r="G316" t="s">
        <v>202</v>
      </c>
    </row>
    <row r="317" spans="1:7" ht="16.5" thickBot="1" x14ac:dyDescent="0.3">
      <c r="A317" t="s">
        <v>30</v>
      </c>
      <c r="C317" t="s">
        <v>912</v>
      </c>
      <c r="D317" t="s">
        <v>892</v>
      </c>
      <c r="E317" s="16">
        <v>46019</v>
      </c>
      <c r="F317">
        <v>380000</v>
      </c>
      <c r="G317" t="s">
        <v>205</v>
      </c>
    </row>
    <row r="318" spans="1:7" ht="16.5" thickBot="1" x14ac:dyDescent="0.3">
      <c r="A318" t="s">
        <v>72</v>
      </c>
      <c r="C318" t="s">
        <v>913</v>
      </c>
      <c r="D318" t="s">
        <v>893</v>
      </c>
      <c r="E318" s="16">
        <v>46020</v>
      </c>
      <c r="F318">
        <v>150000</v>
      </c>
      <c r="G318" t="s">
        <v>202</v>
      </c>
    </row>
    <row r="319" spans="1:7" ht="16.5" thickBot="1" x14ac:dyDescent="0.3">
      <c r="A319" t="s">
        <v>72</v>
      </c>
      <c r="C319" t="s">
        <v>914</v>
      </c>
      <c r="D319" t="s">
        <v>893</v>
      </c>
      <c r="E319" s="16">
        <v>46020</v>
      </c>
      <c r="F319">
        <v>230000</v>
      </c>
      <c r="G319" t="s">
        <v>631</v>
      </c>
    </row>
    <row r="320" spans="1:7" ht="16.5" thickBot="1" x14ac:dyDescent="0.3">
      <c r="A320" t="s">
        <v>96</v>
      </c>
      <c r="C320" t="s">
        <v>915</v>
      </c>
      <c r="D320" t="s">
        <v>894</v>
      </c>
      <c r="E320" s="16">
        <v>46020</v>
      </c>
      <c r="F320">
        <v>380000</v>
      </c>
      <c r="G320" t="s">
        <v>205</v>
      </c>
    </row>
    <row r="321" spans="1:7" ht="16.5" thickBot="1" x14ac:dyDescent="0.3">
      <c r="A321" t="s">
        <v>106</v>
      </c>
      <c r="C321" t="s">
        <v>916</v>
      </c>
      <c r="D321" t="s">
        <v>895</v>
      </c>
      <c r="E321" s="16">
        <v>46022</v>
      </c>
      <c r="F321">
        <v>380000</v>
      </c>
      <c r="G321" t="s">
        <v>205</v>
      </c>
    </row>
    <row r="322" spans="1:7" ht="16.5" thickBot="1" x14ac:dyDescent="0.3">
      <c r="A322" t="s">
        <v>76</v>
      </c>
      <c r="C322" t="s">
        <v>917</v>
      </c>
      <c r="D322" t="s">
        <v>896</v>
      </c>
      <c r="E322" s="12">
        <v>46024</v>
      </c>
      <c r="F322">
        <v>380000</v>
      </c>
      <c r="G322" t="s">
        <v>205</v>
      </c>
    </row>
    <row r="323" spans="1:7" ht="16.5" thickBot="1" x14ac:dyDescent="0.3">
      <c r="A323" t="s">
        <v>80</v>
      </c>
      <c r="C323" t="s">
        <v>918</v>
      </c>
      <c r="D323" t="s">
        <v>897</v>
      </c>
      <c r="E323" s="12">
        <v>46024</v>
      </c>
      <c r="F323">
        <v>380000</v>
      </c>
      <c r="G323" t="s">
        <v>631</v>
      </c>
    </row>
    <row r="324" spans="1:7" ht="16.5" thickBot="1" x14ac:dyDescent="0.3">
      <c r="A324" t="s">
        <v>35</v>
      </c>
      <c r="C324" t="s">
        <v>919</v>
      </c>
      <c r="D324" t="s">
        <v>898</v>
      </c>
      <c r="E324" s="12">
        <v>46026</v>
      </c>
      <c r="F324">
        <v>380000</v>
      </c>
      <c r="G324" t="s">
        <v>911</v>
      </c>
    </row>
    <row r="325" spans="1:7" ht="16.5" thickBot="1" x14ac:dyDescent="0.3">
      <c r="A325" t="s">
        <v>138</v>
      </c>
      <c r="C325" t="s">
        <v>920</v>
      </c>
      <c r="D325" t="s">
        <v>899</v>
      </c>
      <c r="E325" s="12">
        <v>46026</v>
      </c>
      <c r="F325">
        <v>380000</v>
      </c>
      <c r="G325" t="s">
        <v>205</v>
      </c>
    </row>
    <row r="326" spans="1:7" ht="16.5" thickBot="1" x14ac:dyDescent="0.3">
      <c r="A326" t="s">
        <v>88</v>
      </c>
      <c r="C326" t="s">
        <v>921</v>
      </c>
      <c r="D326" t="s">
        <v>900</v>
      </c>
      <c r="E326" s="12">
        <v>46027</v>
      </c>
      <c r="F326">
        <v>380000</v>
      </c>
      <c r="G326" t="s">
        <v>205</v>
      </c>
    </row>
    <row r="327" spans="1:7" ht="16.5" thickBot="1" x14ac:dyDescent="0.3">
      <c r="A327" t="s">
        <v>68</v>
      </c>
      <c r="C327" t="s">
        <v>922</v>
      </c>
      <c r="D327" t="s">
        <v>901</v>
      </c>
      <c r="E327" s="12">
        <v>46027</v>
      </c>
      <c r="F327">
        <v>380000</v>
      </c>
      <c r="G327" t="s">
        <v>202</v>
      </c>
    </row>
    <row r="328" spans="1:7" ht="16.5" thickBot="1" x14ac:dyDescent="0.3">
      <c r="A328" t="s">
        <v>92</v>
      </c>
      <c r="C328" t="s">
        <v>923</v>
      </c>
      <c r="D328" t="s">
        <v>902</v>
      </c>
      <c r="E328" s="12">
        <v>45662</v>
      </c>
      <c r="F328">
        <v>380000</v>
      </c>
      <c r="G328" t="s">
        <v>205</v>
      </c>
    </row>
    <row r="329" spans="1:7" ht="16.5" thickBot="1" x14ac:dyDescent="0.3">
      <c r="A329" t="s">
        <v>55</v>
      </c>
      <c r="C329" t="s">
        <v>924</v>
      </c>
      <c r="D329" t="s">
        <v>903</v>
      </c>
      <c r="E329" s="12">
        <v>46027</v>
      </c>
      <c r="F329">
        <v>380000</v>
      </c>
      <c r="G329" t="s">
        <v>205</v>
      </c>
    </row>
    <row r="330" spans="1:7" ht="16.5" thickBot="1" x14ac:dyDescent="0.3">
      <c r="A330" t="s">
        <v>134</v>
      </c>
      <c r="C330" t="s">
        <v>925</v>
      </c>
      <c r="D330" t="s">
        <v>904</v>
      </c>
      <c r="E330" s="12">
        <v>46027</v>
      </c>
      <c r="F330">
        <v>380000</v>
      </c>
      <c r="G330" t="s">
        <v>205</v>
      </c>
    </row>
    <row r="331" spans="1:7" ht="16.5" thickBot="1" x14ac:dyDescent="0.3">
      <c r="A331" t="s">
        <v>110</v>
      </c>
      <c r="C331" t="s">
        <v>926</v>
      </c>
      <c r="D331" t="s">
        <v>905</v>
      </c>
      <c r="E331" s="12">
        <v>46029</v>
      </c>
      <c r="F331">
        <v>380000</v>
      </c>
      <c r="G331" t="s">
        <v>205</v>
      </c>
    </row>
    <row r="332" spans="1:7" ht="16.5" thickBot="1" x14ac:dyDescent="0.3">
      <c r="A332" t="s">
        <v>118</v>
      </c>
      <c r="C332" t="s">
        <v>927</v>
      </c>
      <c r="D332" t="s">
        <v>906</v>
      </c>
      <c r="E332" s="12">
        <v>46029</v>
      </c>
      <c r="F332">
        <v>380000</v>
      </c>
      <c r="G332" t="s">
        <v>205</v>
      </c>
    </row>
    <row r="333" spans="1:7" ht="16.5" thickBot="1" x14ac:dyDescent="0.3">
      <c r="A333" t="s">
        <v>174</v>
      </c>
      <c r="C333" t="s">
        <v>928</v>
      </c>
      <c r="D333" t="s">
        <v>907</v>
      </c>
      <c r="E333" s="12">
        <v>46031</v>
      </c>
      <c r="F333">
        <v>380000</v>
      </c>
      <c r="G333" t="s">
        <v>205</v>
      </c>
    </row>
    <row r="334" spans="1:7" ht="16.5" thickBot="1" x14ac:dyDescent="0.3">
      <c r="A334" t="s">
        <v>84</v>
      </c>
      <c r="C334" t="s">
        <v>929</v>
      </c>
      <c r="D334" t="s">
        <v>908</v>
      </c>
      <c r="E334" s="12">
        <v>46033</v>
      </c>
      <c r="F334">
        <v>380000</v>
      </c>
      <c r="G334" t="s">
        <v>205</v>
      </c>
    </row>
    <row r="335" spans="1:7" ht="16.5" thickBot="1" x14ac:dyDescent="0.3">
      <c r="A335" t="s">
        <v>114</v>
      </c>
      <c r="C335" t="s">
        <v>930</v>
      </c>
      <c r="D335" t="s">
        <v>909</v>
      </c>
      <c r="E335" s="12">
        <v>46033</v>
      </c>
      <c r="F335">
        <v>380000</v>
      </c>
      <c r="G335" t="s">
        <v>205</v>
      </c>
    </row>
    <row r="336" spans="1:7" ht="16.5" thickBot="1" x14ac:dyDescent="0.3">
      <c r="A336" t="s">
        <v>21</v>
      </c>
      <c r="C336" t="s">
        <v>931</v>
      </c>
      <c r="D336" t="s">
        <v>910</v>
      </c>
      <c r="E336" s="12">
        <v>46034</v>
      </c>
      <c r="F336">
        <v>380000</v>
      </c>
      <c r="G336" t="s">
        <v>202</v>
      </c>
    </row>
    <row r="337" spans="1:7" ht="16.5" thickBot="1" x14ac:dyDescent="0.3">
      <c r="A337" t="s">
        <v>44</v>
      </c>
      <c r="C337" t="s">
        <v>932</v>
      </c>
      <c r="D337" t="s">
        <v>933</v>
      </c>
      <c r="E337" s="12">
        <v>46034</v>
      </c>
      <c r="F337">
        <v>380000</v>
      </c>
      <c r="G337" t="s">
        <v>202</v>
      </c>
    </row>
    <row r="338" spans="1:7" ht="16.5" thickBot="1" x14ac:dyDescent="0.3">
      <c r="A338" t="s">
        <v>80</v>
      </c>
      <c r="C338" t="s">
        <v>1015</v>
      </c>
      <c r="D338" t="s">
        <v>934</v>
      </c>
      <c r="E338" s="12">
        <v>46001</v>
      </c>
      <c r="F338">
        <v>50000</v>
      </c>
      <c r="G338" t="s">
        <v>631</v>
      </c>
    </row>
    <row r="339" spans="1:7" ht="16.5" thickBot="1" x14ac:dyDescent="0.3">
      <c r="A339" t="s">
        <v>118</v>
      </c>
      <c r="C339" t="s">
        <v>1016</v>
      </c>
      <c r="D339" t="s">
        <v>935</v>
      </c>
      <c r="E339" s="12">
        <v>46000</v>
      </c>
      <c r="F339">
        <v>50000</v>
      </c>
      <c r="G339" t="s">
        <v>205</v>
      </c>
    </row>
    <row r="340" spans="1:7" ht="16.5" thickBot="1" x14ac:dyDescent="0.3">
      <c r="A340" t="s">
        <v>72</v>
      </c>
      <c r="C340" t="s">
        <v>1017</v>
      </c>
      <c r="D340" t="s">
        <v>936</v>
      </c>
      <c r="E340" s="12">
        <v>46001</v>
      </c>
      <c r="F340">
        <v>50000</v>
      </c>
      <c r="G340" t="s">
        <v>631</v>
      </c>
    </row>
    <row r="341" spans="1:7" ht="16.5" thickBot="1" x14ac:dyDescent="0.3">
      <c r="A341" t="s">
        <v>44</v>
      </c>
      <c r="C341" t="s">
        <v>1018</v>
      </c>
      <c r="D341" t="s">
        <v>937</v>
      </c>
      <c r="E341" s="12">
        <v>46001</v>
      </c>
      <c r="F341">
        <v>50000</v>
      </c>
      <c r="G341" t="s">
        <v>202</v>
      </c>
    </row>
    <row r="342" spans="1:7" ht="16.5" thickBot="1" x14ac:dyDescent="0.3">
      <c r="A342" t="s">
        <v>88</v>
      </c>
      <c r="C342" t="s">
        <v>1019</v>
      </c>
      <c r="D342" t="s">
        <v>938</v>
      </c>
      <c r="E342" s="12">
        <v>46001</v>
      </c>
      <c r="F342">
        <v>50000</v>
      </c>
      <c r="G342" t="s">
        <v>202</v>
      </c>
    </row>
    <row r="343" spans="1:7" ht="16.5" thickBot="1" x14ac:dyDescent="0.3">
      <c r="A343" t="s">
        <v>30</v>
      </c>
      <c r="C343" t="s">
        <v>1020</v>
      </c>
      <c r="D343" t="s">
        <v>939</v>
      </c>
      <c r="E343" s="12">
        <v>46001</v>
      </c>
      <c r="F343">
        <v>50000</v>
      </c>
      <c r="G343" t="s">
        <v>202</v>
      </c>
    </row>
    <row r="344" spans="1:7" ht="16.5" thickBot="1" x14ac:dyDescent="0.3">
      <c r="A344" t="s">
        <v>96</v>
      </c>
      <c r="C344" t="s">
        <v>1021</v>
      </c>
      <c r="D344" t="s">
        <v>940</v>
      </c>
      <c r="E344" s="12">
        <v>46001</v>
      </c>
      <c r="F344">
        <v>50000</v>
      </c>
      <c r="G344" t="s">
        <v>202</v>
      </c>
    </row>
    <row r="345" spans="1:7" ht="16.5" thickBot="1" x14ac:dyDescent="0.3">
      <c r="A345" t="s">
        <v>55</v>
      </c>
      <c r="C345" t="s">
        <v>1022</v>
      </c>
      <c r="D345" t="s">
        <v>941</v>
      </c>
      <c r="E345" s="12">
        <v>46001</v>
      </c>
      <c r="F345">
        <v>50000</v>
      </c>
      <c r="G345" t="s">
        <v>202</v>
      </c>
    </row>
    <row r="346" spans="1:7" ht="16.5" thickBot="1" x14ac:dyDescent="0.3">
      <c r="A346" t="s">
        <v>21</v>
      </c>
      <c r="C346" t="s">
        <v>1023</v>
      </c>
      <c r="D346" t="s">
        <v>942</v>
      </c>
      <c r="E346" s="12">
        <v>46003</v>
      </c>
      <c r="F346">
        <v>50000</v>
      </c>
      <c r="G346" t="s">
        <v>202</v>
      </c>
    </row>
    <row r="347" spans="1:7" ht="16.5" thickBot="1" x14ac:dyDescent="0.3">
      <c r="A347" t="s">
        <v>59</v>
      </c>
      <c r="C347" t="s">
        <v>1024</v>
      </c>
      <c r="D347" t="s">
        <v>943</v>
      </c>
      <c r="E347" s="12">
        <v>46001</v>
      </c>
      <c r="F347">
        <v>50000</v>
      </c>
      <c r="G347" t="s">
        <v>202</v>
      </c>
    </row>
    <row r="348" spans="1:7" ht="16.5" thickBot="1" x14ac:dyDescent="0.3">
      <c r="A348" t="s">
        <v>154</v>
      </c>
      <c r="C348" t="s">
        <v>1025</v>
      </c>
      <c r="D348" t="s">
        <v>944</v>
      </c>
      <c r="E348" s="12">
        <v>46001</v>
      </c>
      <c r="F348">
        <v>50000</v>
      </c>
      <c r="G348" t="s">
        <v>202</v>
      </c>
    </row>
    <row r="349" spans="1:7" ht="16.5" thickBot="1" x14ac:dyDescent="0.3">
      <c r="A349" t="s">
        <v>150</v>
      </c>
      <c r="C349" t="s">
        <v>1026</v>
      </c>
      <c r="D349" t="s">
        <v>945</v>
      </c>
      <c r="E349" s="12">
        <v>46001</v>
      </c>
      <c r="F349">
        <v>50000</v>
      </c>
      <c r="G349" t="s">
        <v>202</v>
      </c>
    </row>
    <row r="350" spans="1:7" ht="16.5" thickBot="1" x14ac:dyDescent="0.3">
      <c r="A350" t="s">
        <v>100</v>
      </c>
      <c r="C350" t="s">
        <v>1027</v>
      </c>
      <c r="D350" t="s">
        <v>946</v>
      </c>
      <c r="E350" s="12">
        <v>46001</v>
      </c>
      <c r="F350">
        <v>50000</v>
      </c>
      <c r="G350" t="s">
        <v>205</v>
      </c>
    </row>
    <row r="351" spans="1:7" ht="16.5" thickBot="1" x14ac:dyDescent="0.3">
      <c r="A351" t="s">
        <v>104</v>
      </c>
      <c r="C351" t="s">
        <v>1028</v>
      </c>
      <c r="D351" t="s">
        <v>947</v>
      </c>
      <c r="E351" s="12">
        <v>46001</v>
      </c>
      <c r="F351">
        <v>50000</v>
      </c>
      <c r="G351" t="s">
        <v>205</v>
      </c>
    </row>
    <row r="352" spans="1:7" ht="16.5" thickBot="1" x14ac:dyDescent="0.3">
      <c r="A352" t="s">
        <v>76</v>
      </c>
      <c r="C352" t="s">
        <v>1029</v>
      </c>
      <c r="D352" t="s">
        <v>948</v>
      </c>
      <c r="E352" s="12">
        <v>46002</v>
      </c>
      <c r="F352">
        <v>50000</v>
      </c>
      <c r="G352" t="s">
        <v>202</v>
      </c>
    </row>
    <row r="353" spans="1:7" ht="16.5" thickBot="1" x14ac:dyDescent="0.3">
      <c r="A353" t="s">
        <v>106</v>
      </c>
      <c r="C353" t="s">
        <v>1030</v>
      </c>
      <c r="D353" t="s">
        <v>949</v>
      </c>
      <c r="E353" s="12">
        <v>46002</v>
      </c>
      <c r="F353">
        <v>50000</v>
      </c>
      <c r="G353" t="s">
        <v>202</v>
      </c>
    </row>
    <row r="354" spans="1:7" ht="16.5" thickBot="1" x14ac:dyDescent="0.3">
      <c r="A354" t="s">
        <v>134</v>
      </c>
      <c r="C354" t="s">
        <v>1031</v>
      </c>
      <c r="D354" t="s">
        <v>950</v>
      </c>
      <c r="E354" s="12">
        <v>46003</v>
      </c>
      <c r="F354">
        <v>50000</v>
      </c>
      <c r="G354" t="s">
        <v>202</v>
      </c>
    </row>
    <row r="355" spans="1:7" ht="16.5" thickBot="1" x14ac:dyDescent="0.3">
      <c r="A355" t="s">
        <v>35</v>
      </c>
      <c r="C355" t="s">
        <v>1032</v>
      </c>
      <c r="D355" t="s">
        <v>951</v>
      </c>
      <c r="E355" s="12">
        <v>46003</v>
      </c>
      <c r="F355">
        <v>50000</v>
      </c>
      <c r="G355" t="s">
        <v>202</v>
      </c>
    </row>
    <row r="356" spans="1:7" ht="16.5" thickBot="1" x14ac:dyDescent="0.3">
      <c r="A356" t="s">
        <v>122</v>
      </c>
      <c r="C356" t="s">
        <v>1033</v>
      </c>
      <c r="D356" t="s">
        <v>952</v>
      </c>
      <c r="E356" s="12">
        <v>46003</v>
      </c>
      <c r="F356">
        <v>50000</v>
      </c>
      <c r="G356" t="s">
        <v>205</v>
      </c>
    </row>
    <row r="357" spans="1:7" ht="16.5" thickBot="1" x14ac:dyDescent="0.3">
      <c r="A357" t="s">
        <v>160</v>
      </c>
      <c r="C357" t="s">
        <v>1034</v>
      </c>
      <c r="D357" t="s">
        <v>953</v>
      </c>
      <c r="E357" s="13">
        <v>46006</v>
      </c>
      <c r="F357">
        <v>50000</v>
      </c>
      <c r="G357" t="s">
        <v>202</v>
      </c>
    </row>
    <row r="358" spans="1:7" ht="16.5" thickBot="1" x14ac:dyDescent="0.3">
      <c r="A358" t="s">
        <v>114</v>
      </c>
      <c r="C358" t="s">
        <v>1035</v>
      </c>
      <c r="D358" t="s">
        <v>954</v>
      </c>
      <c r="E358" s="13">
        <v>46006</v>
      </c>
      <c r="F358">
        <v>40000</v>
      </c>
      <c r="G358" t="s">
        <v>631</v>
      </c>
    </row>
    <row r="359" spans="1:7" ht="16.5" thickBot="1" x14ac:dyDescent="0.3">
      <c r="A359" t="s">
        <v>114</v>
      </c>
      <c r="C359" t="s">
        <v>1035</v>
      </c>
      <c r="D359" t="s">
        <v>954</v>
      </c>
      <c r="E359" s="13">
        <v>46006</v>
      </c>
      <c r="F359">
        <v>10000</v>
      </c>
      <c r="G359" t="s">
        <v>911</v>
      </c>
    </row>
    <row r="360" spans="1:7" ht="16.5" thickBot="1" x14ac:dyDescent="0.3">
      <c r="A360" t="s">
        <v>174</v>
      </c>
      <c r="C360" t="s">
        <v>1036</v>
      </c>
      <c r="D360" t="s">
        <v>955</v>
      </c>
      <c r="E360" s="13">
        <v>46006</v>
      </c>
      <c r="F360">
        <v>50000</v>
      </c>
      <c r="G360" t="s">
        <v>911</v>
      </c>
    </row>
    <row r="361" spans="1:7" ht="16.5" thickBot="1" x14ac:dyDescent="0.3">
      <c r="A361" t="s">
        <v>84</v>
      </c>
      <c r="C361" t="s">
        <v>1037</v>
      </c>
      <c r="D361" t="s">
        <v>956</v>
      </c>
      <c r="E361" s="13">
        <v>46006</v>
      </c>
      <c r="F361">
        <v>50000</v>
      </c>
      <c r="G361" t="s">
        <v>911</v>
      </c>
    </row>
    <row r="362" spans="1:7" ht="16.5" thickBot="1" x14ac:dyDescent="0.3">
      <c r="A362" t="s">
        <v>48</v>
      </c>
      <c r="C362" t="s">
        <v>1038</v>
      </c>
      <c r="D362" t="s">
        <v>957</v>
      </c>
      <c r="E362" s="13">
        <v>46006</v>
      </c>
      <c r="F362">
        <v>50000</v>
      </c>
      <c r="G362" t="s">
        <v>889</v>
      </c>
    </row>
    <row r="363" spans="1:7" ht="16.5" thickBot="1" x14ac:dyDescent="0.3">
      <c r="A363" t="s">
        <v>63</v>
      </c>
      <c r="C363" t="s">
        <v>1039</v>
      </c>
      <c r="D363" t="s">
        <v>958</v>
      </c>
      <c r="E363" s="13">
        <v>46007</v>
      </c>
      <c r="F363">
        <v>50000</v>
      </c>
      <c r="G363" t="s">
        <v>911</v>
      </c>
    </row>
    <row r="364" spans="1:7" ht="16.5" thickBot="1" x14ac:dyDescent="0.3">
      <c r="A364" t="s">
        <v>68</v>
      </c>
      <c r="C364" t="s">
        <v>1040</v>
      </c>
      <c r="D364" t="s">
        <v>959</v>
      </c>
      <c r="E364" s="13">
        <v>46009</v>
      </c>
      <c r="F364">
        <v>50000</v>
      </c>
      <c r="G364" t="s">
        <v>911</v>
      </c>
    </row>
    <row r="365" spans="1:7" ht="16.5" thickBot="1" x14ac:dyDescent="0.3">
      <c r="A365" t="s">
        <v>146</v>
      </c>
      <c r="C365" t="s">
        <v>1041</v>
      </c>
      <c r="D365" t="s">
        <v>960</v>
      </c>
      <c r="E365" s="13">
        <v>46010</v>
      </c>
      <c r="F365">
        <v>50000</v>
      </c>
      <c r="G365" t="s">
        <v>911</v>
      </c>
    </row>
    <row r="366" spans="1:7" ht="16.5" thickBot="1" x14ac:dyDescent="0.3">
      <c r="A366" t="s">
        <v>138</v>
      </c>
      <c r="C366" t="s">
        <v>1042</v>
      </c>
      <c r="D366" t="s">
        <v>961</v>
      </c>
      <c r="E366" s="13">
        <v>46008</v>
      </c>
      <c r="F366">
        <v>50000</v>
      </c>
      <c r="G366" t="s">
        <v>631</v>
      </c>
    </row>
    <row r="367" spans="1:7" ht="16.5" thickBot="1" x14ac:dyDescent="0.3">
      <c r="A367" t="s">
        <v>92</v>
      </c>
      <c r="C367" t="s">
        <v>1043</v>
      </c>
      <c r="D367" t="s">
        <v>962</v>
      </c>
      <c r="E367" s="13">
        <v>46010</v>
      </c>
      <c r="F367">
        <v>50000</v>
      </c>
      <c r="G367" t="s">
        <v>889</v>
      </c>
    </row>
    <row r="368" spans="1:7" ht="16.5" thickBot="1" x14ac:dyDescent="0.3">
      <c r="A368" t="s">
        <v>110</v>
      </c>
      <c r="C368" t="s">
        <v>1044</v>
      </c>
      <c r="D368" t="s">
        <v>963</v>
      </c>
      <c r="E368" s="12">
        <v>46033</v>
      </c>
      <c r="F368">
        <v>50000</v>
      </c>
      <c r="G368" t="s">
        <v>205</v>
      </c>
    </row>
    <row r="369" spans="1:7" ht="16.5" thickBot="1" x14ac:dyDescent="0.3">
      <c r="A369" t="s">
        <v>126</v>
      </c>
      <c r="C369" t="s">
        <v>1045</v>
      </c>
      <c r="D369" t="s">
        <v>964</v>
      </c>
      <c r="E369" s="14">
        <v>45996</v>
      </c>
      <c r="F369">
        <v>50000</v>
      </c>
      <c r="G369" t="s">
        <v>911</v>
      </c>
    </row>
    <row r="370" spans="1:7" ht="16.5" thickBot="1" x14ac:dyDescent="0.3">
      <c r="A370" t="s">
        <v>170</v>
      </c>
      <c r="C370" t="s">
        <v>1046</v>
      </c>
      <c r="D370" t="s">
        <v>965</v>
      </c>
      <c r="E370" s="12">
        <v>46060</v>
      </c>
      <c r="F370">
        <v>50000</v>
      </c>
      <c r="G370" t="s">
        <v>889</v>
      </c>
    </row>
    <row r="371" spans="1:7" ht="16.5" thickBot="1" x14ac:dyDescent="0.3">
      <c r="A371" t="s">
        <v>168</v>
      </c>
      <c r="C371" t="s">
        <v>1047</v>
      </c>
      <c r="D371" t="s">
        <v>1000</v>
      </c>
      <c r="E371" s="13">
        <v>46126</v>
      </c>
      <c r="F371">
        <v>50000</v>
      </c>
      <c r="G371" t="s">
        <v>911</v>
      </c>
    </row>
    <row r="372" spans="1:7" ht="16.5" thickBot="1" x14ac:dyDescent="0.3">
      <c r="A372" t="s">
        <v>130</v>
      </c>
      <c r="C372" t="s">
        <v>1048</v>
      </c>
      <c r="D372" t="s">
        <v>1001</v>
      </c>
      <c r="E372" s="13">
        <v>46126</v>
      </c>
      <c r="F372">
        <v>50000</v>
      </c>
      <c r="G372" t="s">
        <v>911</v>
      </c>
    </row>
    <row r="373" spans="1:7" ht="16.5" thickBot="1" x14ac:dyDescent="0.3">
      <c r="A373" t="s">
        <v>160</v>
      </c>
      <c r="C373" t="s">
        <v>1050</v>
      </c>
      <c r="D373" t="s">
        <v>1002</v>
      </c>
      <c r="E373" s="12">
        <v>45931</v>
      </c>
      <c r="F373">
        <v>22000</v>
      </c>
      <c r="G373" t="s">
        <v>911</v>
      </c>
    </row>
    <row r="374" spans="1:7" ht="16.5" thickBot="1" x14ac:dyDescent="0.3">
      <c r="A374" t="s">
        <v>76</v>
      </c>
      <c r="C374" t="s">
        <v>1051</v>
      </c>
      <c r="D374" t="s">
        <v>1003</v>
      </c>
      <c r="E374" s="12">
        <v>45931</v>
      </c>
      <c r="F374">
        <v>22000</v>
      </c>
      <c r="G374" t="s">
        <v>205</v>
      </c>
    </row>
    <row r="375" spans="1:7" ht="16.5" thickBot="1" x14ac:dyDescent="0.3">
      <c r="A375" t="s">
        <v>80</v>
      </c>
      <c r="C375" t="s">
        <v>1052</v>
      </c>
      <c r="D375" t="s">
        <v>1004</v>
      </c>
      <c r="E375" s="12">
        <v>45931</v>
      </c>
      <c r="F375">
        <v>22000</v>
      </c>
      <c r="G375" t="s">
        <v>631</v>
      </c>
    </row>
    <row r="376" spans="1:7" ht="16.5" thickBot="1" x14ac:dyDescent="0.3">
      <c r="A376" t="s">
        <v>106</v>
      </c>
      <c r="C376" t="s">
        <v>1053</v>
      </c>
      <c r="D376" t="s">
        <v>1005</v>
      </c>
      <c r="E376" s="12">
        <v>45932</v>
      </c>
      <c r="F376">
        <v>22000</v>
      </c>
      <c r="G376" t="s">
        <v>911</v>
      </c>
    </row>
    <row r="377" spans="1:7" ht="16.5" thickBot="1" x14ac:dyDescent="0.3">
      <c r="A377" t="s">
        <v>134</v>
      </c>
      <c r="C377" t="s">
        <v>1054</v>
      </c>
      <c r="D377" t="s">
        <v>1006</v>
      </c>
      <c r="E377" s="12">
        <v>45932</v>
      </c>
      <c r="F377">
        <v>22000</v>
      </c>
      <c r="G377" t="s">
        <v>205</v>
      </c>
    </row>
    <row r="378" spans="1:7" ht="16.5" thickBot="1" x14ac:dyDescent="0.3">
      <c r="A378" t="s">
        <v>88</v>
      </c>
      <c r="C378" t="s">
        <v>1055</v>
      </c>
      <c r="D378" t="s">
        <v>1007</v>
      </c>
      <c r="E378" s="12">
        <v>45933</v>
      </c>
      <c r="F378">
        <v>22000</v>
      </c>
      <c r="G378" t="s">
        <v>911</v>
      </c>
    </row>
    <row r="379" spans="1:7" ht="16.5" thickBot="1" x14ac:dyDescent="0.3">
      <c r="A379" t="s">
        <v>55</v>
      </c>
      <c r="C379" t="s">
        <v>1056</v>
      </c>
      <c r="D379" t="s">
        <v>1008</v>
      </c>
      <c r="E379" s="12">
        <v>45933</v>
      </c>
      <c r="F379">
        <v>22000</v>
      </c>
      <c r="G379" t="s">
        <v>911</v>
      </c>
    </row>
    <row r="380" spans="1:7" ht="16.5" thickBot="1" x14ac:dyDescent="0.3">
      <c r="A380" t="s">
        <v>30</v>
      </c>
      <c r="C380" t="s">
        <v>1057</v>
      </c>
      <c r="D380" t="s">
        <v>1009</v>
      </c>
      <c r="E380" s="12">
        <v>45933</v>
      </c>
      <c r="F380">
        <v>22000</v>
      </c>
      <c r="G380" t="s">
        <v>911</v>
      </c>
    </row>
    <row r="381" spans="1:7" ht="16.5" thickBot="1" x14ac:dyDescent="0.3">
      <c r="A381" t="s">
        <v>118</v>
      </c>
      <c r="C381" t="s">
        <v>1058</v>
      </c>
      <c r="D381" t="s">
        <v>1010</v>
      </c>
      <c r="E381" s="12">
        <v>45936</v>
      </c>
      <c r="F381">
        <v>22000</v>
      </c>
      <c r="G381" t="s">
        <v>911</v>
      </c>
    </row>
    <row r="382" spans="1:7" ht="16.5" thickBot="1" x14ac:dyDescent="0.3">
      <c r="A382" t="s">
        <v>138</v>
      </c>
      <c r="C382" t="s">
        <v>1059</v>
      </c>
      <c r="D382" t="s">
        <v>1011</v>
      </c>
      <c r="E382" s="12">
        <v>45936</v>
      </c>
      <c r="F382">
        <v>22000</v>
      </c>
      <c r="G382" t="s">
        <v>911</v>
      </c>
    </row>
    <row r="383" spans="1:7" ht="16.5" thickBot="1" x14ac:dyDescent="0.3">
      <c r="A383" t="s">
        <v>146</v>
      </c>
      <c r="C383" t="s">
        <v>1060</v>
      </c>
      <c r="D383" t="s">
        <v>1012</v>
      </c>
      <c r="E383" s="12">
        <v>45937</v>
      </c>
      <c r="F383">
        <v>22000</v>
      </c>
      <c r="G383" t="s">
        <v>1071</v>
      </c>
    </row>
    <row r="384" spans="1:7" ht="16.5" thickBot="1" x14ac:dyDescent="0.3">
      <c r="A384" t="s">
        <v>35</v>
      </c>
      <c r="C384" t="s">
        <v>1061</v>
      </c>
      <c r="D384" t="s">
        <v>1013</v>
      </c>
      <c r="E384" s="12">
        <v>45937</v>
      </c>
      <c r="F384">
        <v>22000</v>
      </c>
      <c r="G384" t="s">
        <v>911</v>
      </c>
    </row>
    <row r="385" spans="1:7" ht="16.5" thickBot="1" x14ac:dyDescent="0.3">
      <c r="A385" t="s">
        <v>63</v>
      </c>
      <c r="C385" t="s">
        <v>1062</v>
      </c>
      <c r="D385" t="s">
        <v>1049</v>
      </c>
      <c r="E385" s="12">
        <v>45938</v>
      </c>
      <c r="F385">
        <v>22000</v>
      </c>
      <c r="G385" t="s">
        <v>911</v>
      </c>
    </row>
    <row r="386" spans="1:7" ht="16.5" thickBot="1" x14ac:dyDescent="0.3">
      <c r="A386" t="s">
        <v>72</v>
      </c>
      <c r="C386" t="s">
        <v>1063</v>
      </c>
      <c r="D386" t="s">
        <v>1064</v>
      </c>
      <c r="E386" s="12">
        <v>45939</v>
      </c>
      <c r="F386">
        <v>55000</v>
      </c>
      <c r="G386" t="s">
        <v>911</v>
      </c>
    </row>
    <row r="387" spans="1:7" ht="16.5" thickBot="1" x14ac:dyDescent="0.3">
      <c r="A387" t="s">
        <v>72</v>
      </c>
      <c r="C387" t="s">
        <v>1067</v>
      </c>
      <c r="D387" t="s">
        <v>1064</v>
      </c>
      <c r="E387" s="12">
        <v>45939</v>
      </c>
      <c r="F387">
        <v>165000</v>
      </c>
      <c r="G387" t="s">
        <v>631</v>
      </c>
    </row>
    <row r="388" spans="1:7" ht="16.5" thickBot="1" x14ac:dyDescent="0.3">
      <c r="A388" t="s">
        <v>142</v>
      </c>
      <c r="C388" t="s">
        <v>1068</v>
      </c>
      <c r="D388" t="s">
        <v>1065</v>
      </c>
      <c r="E388" s="12">
        <v>45940</v>
      </c>
      <c r="F388">
        <v>22000</v>
      </c>
      <c r="G388" t="s">
        <v>911</v>
      </c>
    </row>
    <row r="389" spans="1:7" ht="16.5" thickBot="1" x14ac:dyDescent="0.3">
      <c r="A389" t="s">
        <v>68</v>
      </c>
      <c r="C389" t="s">
        <v>1069</v>
      </c>
      <c r="D389" t="s">
        <v>1066</v>
      </c>
      <c r="E389" s="13">
        <v>45943</v>
      </c>
      <c r="F389">
        <v>22000</v>
      </c>
      <c r="G389" t="s">
        <v>911</v>
      </c>
    </row>
    <row r="390" spans="1:7" ht="16.5" thickBot="1" x14ac:dyDescent="0.3">
      <c r="A390" t="s">
        <v>126</v>
      </c>
      <c r="C390" t="s">
        <v>1070</v>
      </c>
      <c r="D390" t="s">
        <v>1075</v>
      </c>
      <c r="E390" s="13">
        <v>45944</v>
      </c>
      <c r="F390">
        <v>22000</v>
      </c>
      <c r="G390" t="s">
        <v>911</v>
      </c>
    </row>
    <row r="391" spans="1:7" x14ac:dyDescent="0.25">
      <c r="E391" s="10"/>
    </row>
    <row r="392" spans="1:7" x14ac:dyDescent="0.25">
      <c r="E392" s="10"/>
    </row>
    <row r="393" spans="1:7" x14ac:dyDescent="0.25">
      <c r="E393" s="10"/>
    </row>
    <row r="394" spans="1:7" x14ac:dyDescent="0.25">
      <c r="E394" s="10"/>
    </row>
    <row r="395" spans="1:7" x14ac:dyDescent="0.25">
      <c r="E395" s="10"/>
    </row>
    <row r="396" spans="1:7" x14ac:dyDescent="0.25">
      <c r="E396" s="10"/>
    </row>
    <row r="397" spans="1:7" x14ac:dyDescent="0.25">
      <c r="E397" s="10"/>
    </row>
    <row r="398" spans="1:7" x14ac:dyDescent="0.25">
      <c r="E398" s="10"/>
    </row>
    <row r="399" spans="1:7" x14ac:dyDescent="0.25">
      <c r="E399" s="10"/>
    </row>
    <row r="400" spans="1:7" x14ac:dyDescent="0.25">
      <c r="E400" s="10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1"/>
  <sheetViews>
    <sheetView zoomScaleNormal="100" workbookViewId="0">
      <selection activeCell="C10" sqref="C10:K351"/>
    </sheetView>
  </sheetViews>
  <sheetFormatPr defaultColWidth="8.625" defaultRowHeight="15.75" x14ac:dyDescent="0.25"/>
  <cols>
    <col min="1" max="1" width="10.25" customWidth="1"/>
    <col min="2" max="2" width="18.875" customWidth="1"/>
    <col min="3" max="3" width="28.5" customWidth="1"/>
    <col min="4" max="4" width="53.75" customWidth="1"/>
    <col min="5" max="5" width="23" customWidth="1"/>
    <col min="6" max="6" width="10.625" customWidth="1"/>
    <col min="7" max="7" width="46.125" customWidth="1"/>
  </cols>
  <sheetData>
    <row r="1" spans="1:7" x14ac:dyDescent="0.25">
      <c r="A1" t="s">
        <v>10</v>
      </c>
      <c r="B1" t="s">
        <v>11</v>
      </c>
      <c r="C1" t="s">
        <v>16</v>
      </c>
      <c r="D1" t="s">
        <v>206</v>
      </c>
      <c r="E1" t="s">
        <v>207</v>
      </c>
      <c r="F1" t="s">
        <v>208</v>
      </c>
      <c r="G1" t="s">
        <v>209</v>
      </c>
    </row>
    <row r="2" spans="1:7" x14ac:dyDescent="0.25">
      <c r="A2" t="s">
        <v>210</v>
      </c>
      <c r="B2" t="s">
        <v>211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</row>
    <row r="10" spans="1:7" x14ac:dyDescent="0.25">
      <c r="G10" s="2"/>
    </row>
    <row r="11" spans="1:7" x14ac:dyDescent="0.25">
      <c r="G11" s="2"/>
    </row>
    <row r="12" spans="1:7" x14ac:dyDescent="0.25">
      <c r="G12" s="2"/>
    </row>
    <row r="13" spans="1:7" x14ac:dyDescent="0.25">
      <c r="G13" s="2"/>
    </row>
    <row r="14" spans="1:7" x14ac:dyDescent="0.25">
      <c r="G14" s="2"/>
    </row>
    <row r="15" spans="1:7" x14ac:dyDescent="0.25">
      <c r="G15" s="2"/>
    </row>
    <row r="16" spans="1:7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  <row r="24" spans="7:7" x14ac:dyDescent="0.25">
      <c r="G24" s="2"/>
    </row>
    <row r="25" spans="7:7" x14ac:dyDescent="0.25">
      <c r="G25" s="2"/>
    </row>
    <row r="26" spans="7:7" x14ac:dyDescent="0.25">
      <c r="G26" s="2"/>
    </row>
    <row r="27" spans="7:7" x14ac:dyDescent="0.25">
      <c r="G27" s="2"/>
    </row>
    <row r="28" spans="7:7" x14ac:dyDescent="0.25">
      <c r="G28" s="2"/>
    </row>
    <row r="29" spans="7:7" x14ac:dyDescent="0.25">
      <c r="G29" s="2"/>
    </row>
    <row r="30" spans="7:7" x14ac:dyDescent="0.25">
      <c r="G30" s="2"/>
    </row>
    <row r="31" spans="7:7" x14ac:dyDescent="0.25">
      <c r="G31" s="2"/>
    </row>
    <row r="32" spans="7:7" x14ac:dyDescent="0.25">
      <c r="G32" s="2"/>
    </row>
    <row r="33" spans="7:7" x14ac:dyDescent="0.25">
      <c r="G33" s="2"/>
    </row>
    <row r="34" spans="7:7" x14ac:dyDescent="0.25">
      <c r="G34" s="2"/>
    </row>
    <row r="35" spans="7:7" x14ac:dyDescent="0.25">
      <c r="G35" s="2"/>
    </row>
    <row r="36" spans="7:7" x14ac:dyDescent="0.25">
      <c r="G36" s="2"/>
    </row>
    <row r="37" spans="7:7" x14ac:dyDescent="0.25">
      <c r="G37" s="2"/>
    </row>
    <row r="38" spans="7:7" x14ac:dyDescent="0.25">
      <c r="G38" s="2"/>
    </row>
    <row r="39" spans="7:7" x14ac:dyDescent="0.25">
      <c r="G39" s="2"/>
    </row>
    <row r="40" spans="7:7" x14ac:dyDescent="0.25">
      <c r="G40" s="2"/>
    </row>
    <row r="41" spans="7:7" x14ac:dyDescent="0.25">
      <c r="G41" s="2"/>
    </row>
    <row r="42" spans="7:7" x14ac:dyDescent="0.25">
      <c r="G42" s="2"/>
    </row>
    <row r="43" spans="7:7" x14ac:dyDescent="0.25">
      <c r="G43" s="2"/>
    </row>
    <row r="44" spans="7:7" x14ac:dyDescent="0.25">
      <c r="G44" s="2"/>
    </row>
    <row r="45" spans="7:7" x14ac:dyDescent="0.25">
      <c r="G45" s="2"/>
    </row>
    <row r="46" spans="7:7" x14ac:dyDescent="0.25">
      <c r="G46" s="2"/>
    </row>
    <row r="47" spans="7:7" x14ac:dyDescent="0.25">
      <c r="G47" s="2"/>
    </row>
    <row r="48" spans="7:7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  <row r="53" spans="7:7" x14ac:dyDescent="0.25">
      <c r="G53" s="2"/>
    </row>
    <row r="54" spans="7:7" x14ac:dyDescent="0.25">
      <c r="G54" s="2"/>
    </row>
    <row r="55" spans="7:7" x14ac:dyDescent="0.25">
      <c r="G55" s="2"/>
    </row>
    <row r="56" spans="7:7" x14ac:dyDescent="0.25">
      <c r="G56" s="2"/>
    </row>
    <row r="57" spans="7:7" x14ac:dyDescent="0.25">
      <c r="G57" s="2"/>
    </row>
    <row r="58" spans="7:7" x14ac:dyDescent="0.25">
      <c r="G58" s="2"/>
    </row>
    <row r="59" spans="7:7" x14ac:dyDescent="0.25">
      <c r="G59" s="2"/>
    </row>
    <row r="60" spans="7:7" x14ac:dyDescent="0.25">
      <c r="G60" s="2"/>
    </row>
    <row r="61" spans="7:7" x14ac:dyDescent="0.25">
      <c r="G61" s="2"/>
    </row>
    <row r="62" spans="7:7" x14ac:dyDescent="0.25">
      <c r="G62" s="2"/>
    </row>
    <row r="63" spans="7:7" x14ac:dyDescent="0.25">
      <c r="G63" s="2"/>
    </row>
    <row r="64" spans="7:7" x14ac:dyDescent="0.25">
      <c r="G64" s="2"/>
    </row>
    <row r="65" spans="7:7" x14ac:dyDescent="0.25">
      <c r="G65" s="2"/>
    </row>
    <row r="66" spans="7:7" x14ac:dyDescent="0.25">
      <c r="G66" s="2"/>
    </row>
    <row r="67" spans="7:7" x14ac:dyDescent="0.25">
      <c r="G67" s="2"/>
    </row>
    <row r="68" spans="7:7" x14ac:dyDescent="0.25">
      <c r="G68" s="2"/>
    </row>
    <row r="69" spans="7:7" x14ac:dyDescent="0.25">
      <c r="G69" s="2"/>
    </row>
    <row r="70" spans="7:7" x14ac:dyDescent="0.25">
      <c r="G70" s="2"/>
    </row>
    <row r="71" spans="7:7" x14ac:dyDescent="0.25">
      <c r="G71" s="2"/>
    </row>
    <row r="72" spans="7:7" x14ac:dyDescent="0.25">
      <c r="G72" s="2"/>
    </row>
    <row r="73" spans="7:7" x14ac:dyDescent="0.25">
      <c r="G73" s="2"/>
    </row>
    <row r="74" spans="7:7" x14ac:dyDescent="0.25">
      <c r="G74" s="2"/>
    </row>
    <row r="75" spans="7:7" x14ac:dyDescent="0.25">
      <c r="G75" s="2"/>
    </row>
    <row r="76" spans="7:7" x14ac:dyDescent="0.25">
      <c r="G76" s="2"/>
    </row>
    <row r="77" spans="7:7" x14ac:dyDescent="0.25">
      <c r="G77" s="2"/>
    </row>
    <row r="78" spans="7:7" x14ac:dyDescent="0.25">
      <c r="G78" s="2"/>
    </row>
    <row r="79" spans="7:7" x14ac:dyDescent="0.25">
      <c r="G79" s="2"/>
    </row>
    <row r="80" spans="7:7" x14ac:dyDescent="0.25">
      <c r="G80" s="2"/>
    </row>
    <row r="81" spans="7:7" x14ac:dyDescent="0.25">
      <c r="G81" s="2"/>
    </row>
    <row r="82" spans="7:7" x14ac:dyDescent="0.25">
      <c r="G82" s="2"/>
    </row>
    <row r="83" spans="7:7" x14ac:dyDescent="0.25">
      <c r="G83" s="2"/>
    </row>
    <row r="84" spans="7:7" x14ac:dyDescent="0.25">
      <c r="G84" s="2"/>
    </row>
    <row r="85" spans="7:7" x14ac:dyDescent="0.25">
      <c r="G85" s="2"/>
    </row>
    <row r="86" spans="7:7" x14ac:dyDescent="0.25">
      <c r="G86" s="2"/>
    </row>
    <row r="87" spans="7:7" x14ac:dyDescent="0.25">
      <c r="G87" s="2"/>
    </row>
    <row r="88" spans="7:7" x14ac:dyDescent="0.25">
      <c r="G88" s="2"/>
    </row>
    <row r="89" spans="7:7" x14ac:dyDescent="0.25">
      <c r="G89" s="2"/>
    </row>
    <row r="90" spans="7:7" x14ac:dyDescent="0.25">
      <c r="G90" s="2"/>
    </row>
    <row r="91" spans="7:7" x14ac:dyDescent="0.25">
      <c r="G91" s="2"/>
    </row>
    <row r="92" spans="7:7" x14ac:dyDescent="0.25">
      <c r="G92" s="2"/>
    </row>
    <row r="93" spans="7:7" x14ac:dyDescent="0.25">
      <c r="G93" s="2"/>
    </row>
    <row r="94" spans="7:7" x14ac:dyDescent="0.25">
      <c r="G94" s="2"/>
    </row>
    <row r="95" spans="7:7" x14ac:dyDescent="0.25">
      <c r="G95" s="2"/>
    </row>
    <row r="96" spans="7:7" x14ac:dyDescent="0.25">
      <c r="G96" s="2"/>
    </row>
    <row r="97" spans="7:7" x14ac:dyDescent="0.25">
      <c r="G97" s="2"/>
    </row>
    <row r="98" spans="7:7" x14ac:dyDescent="0.25">
      <c r="G98" s="2"/>
    </row>
    <row r="99" spans="7:7" x14ac:dyDescent="0.25">
      <c r="G99" s="2"/>
    </row>
    <row r="100" spans="7:7" x14ac:dyDescent="0.25">
      <c r="G100" s="2"/>
    </row>
    <row r="101" spans="7:7" x14ac:dyDescent="0.25">
      <c r="G101" s="2"/>
    </row>
    <row r="102" spans="7:7" x14ac:dyDescent="0.25">
      <c r="G102" s="2"/>
    </row>
    <row r="103" spans="7:7" x14ac:dyDescent="0.25">
      <c r="G103" s="2"/>
    </row>
    <row r="104" spans="7:7" x14ac:dyDescent="0.25">
      <c r="G104" s="2"/>
    </row>
    <row r="105" spans="7:7" x14ac:dyDescent="0.25">
      <c r="G105" s="2"/>
    </row>
    <row r="106" spans="7:7" x14ac:dyDescent="0.25">
      <c r="G106" s="2"/>
    </row>
    <row r="107" spans="7:7" x14ac:dyDescent="0.25">
      <c r="G107" s="2"/>
    </row>
    <row r="108" spans="7:7" x14ac:dyDescent="0.25">
      <c r="G108" s="2"/>
    </row>
    <row r="109" spans="7:7" x14ac:dyDescent="0.25">
      <c r="G109" s="2"/>
    </row>
    <row r="110" spans="7:7" x14ac:dyDescent="0.25">
      <c r="G110" s="2"/>
    </row>
    <row r="111" spans="7:7" x14ac:dyDescent="0.25">
      <c r="G111" s="2"/>
    </row>
    <row r="112" spans="7:7" x14ac:dyDescent="0.25">
      <c r="G112" s="2"/>
    </row>
    <row r="113" spans="7:7" x14ac:dyDescent="0.25">
      <c r="G113" s="2"/>
    </row>
    <row r="114" spans="7:7" x14ac:dyDescent="0.25">
      <c r="G114" s="2"/>
    </row>
    <row r="115" spans="7:7" x14ac:dyDescent="0.25">
      <c r="G115" s="2"/>
    </row>
    <row r="116" spans="7:7" x14ac:dyDescent="0.25">
      <c r="G116" s="2"/>
    </row>
    <row r="117" spans="7:7" x14ac:dyDescent="0.25">
      <c r="G117" s="2"/>
    </row>
    <row r="118" spans="7:7" x14ac:dyDescent="0.25">
      <c r="G118" s="2"/>
    </row>
    <row r="119" spans="7:7" x14ac:dyDescent="0.25">
      <c r="G119" s="2"/>
    </row>
    <row r="120" spans="7:7" x14ac:dyDescent="0.25">
      <c r="G120" s="2"/>
    </row>
    <row r="121" spans="7:7" x14ac:dyDescent="0.25">
      <c r="G121" s="2"/>
    </row>
    <row r="122" spans="7:7" x14ac:dyDescent="0.25">
      <c r="G122" s="2"/>
    </row>
    <row r="123" spans="7:7" x14ac:dyDescent="0.25">
      <c r="G123" s="2"/>
    </row>
    <row r="124" spans="7:7" x14ac:dyDescent="0.25">
      <c r="G124" s="2"/>
    </row>
    <row r="125" spans="7:7" x14ac:dyDescent="0.25">
      <c r="G125" s="2"/>
    </row>
    <row r="126" spans="7:7" x14ac:dyDescent="0.25">
      <c r="G126" s="2"/>
    </row>
    <row r="127" spans="7:7" x14ac:dyDescent="0.25">
      <c r="G127" s="2"/>
    </row>
    <row r="128" spans="7:7" x14ac:dyDescent="0.25">
      <c r="G128" s="2"/>
    </row>
    <row r="129" spans="7:7" x14ac:dyDescent="0.25">
      <c r="G129" s="2"/>
    </row>
    <row r="130" spans="7:7" x14ac:dyDescent="0.25">
      <c r="G130" s="2"/>
    </row>
    <row r="131" spans="7:7" x14ac:dyDescent="0.25">
      <c r="G131" s="2"/>
    </row>
    <row r="132" spans="7:7" x14ac:dyDescent="0.25">
      <c r="G132" s="2"/>
    </row>
    <row r="133" spans="7:7" x14ac:dyDescent="0.25">
      <c r="G133" s="2"/>
    </row>
    <row r="134" spans="7:7" x14ac:dyDescent="0.25">
      <c r="G134" s="2"/>
    </row>
    <row r="135" spans="7:7" x14ac:dyDescent="0.25">
      <c r="G135" s="2"/>
    </row>
    <row r="136" spans="7:7" x14ac:dyDescent="0.25">
      <c r="G136" s="2"/>
    </row>
    <row r="137" spans="7:7" x14ac:dyDescent="0.25">
      <c r="G137" s="2"/>
    </row>
    <row r="138" spans="7:7" x14ac:dyDescent="0.25">
      <c r="G138" s="2"/>
    </row>
    <row r="139" spans="7:7" x14ac:dyDescent="0.25">
      <c r="G139" s="2"/>
    </row>
    <row r="140" spans="7:7" x14ac:dyDescent="0.25">
      <c r="G140" s="2"/>
    </row>
    <row r="141" spans="7:7" x14ac:dyDescent="0.25">
      <c r="G141" s="2"/>
    </row>
    <row r="142" spans="7:7" x14ac:dyDescent="0.25">
      <c r="G142" s="2"/>
    </row>
    <row r="143" spans="7:7" x14ac:dyDescent="0.25">
      <c r="G143" s="2"/>
    </row>
    <row r="144" spans="7:7" x14ac:dyDescent="0.25">
      <c r="G144" s="2"/>
    </row>
    <row r="145" spans="7:7" x14ac:dyDescent="0.25">
      <c r="G145" s="2"/>
    </row>
    <row r="146" spans="7:7" x14ac:dyDescent="0.25">
      <c r="G146" s="2"/>
    </row>
    <row r="147" spans="7:7" x14ac:dyDescent="0.25">
      <c r="G147" s="2"/>
    </row>
    <row r="148" spans="7:7" x14ac:dyDescent="0.25">
      <c r="G148" s="2"/>
    </row>
    <row r="149" spans="7:7" x14ac:dyDescent="0.25">
      <c r="G149" s="2"/>
    </row>
    <row r="150" spans="7:7" x14ac:dyDescent="0.25">
      <c r="G150" s="2"/>
    </row>
    <row r="151" spans="7:7" x14ac:dyDescent="0.25">
      <c r="G151" s="2"/>
    </row>
    <row r="152" spans="7:7" x14ac:dyDescent="0.25">
      <c r="G152" s="2"/>
    </row>
    <row r="153" spans="7:7" x14ac:dyDescent="0.25">
      <c r="G153" s="2"/>
    </row>
    <row r="154" spans="7:7" x14ac:dyDescent="0.25">
      <c r="G154" s="2"/>
    </row>
    <row r="155" spans="7:7" x14ac:dyDescent="0.25">
      <c r="G155" s="2"/>
    </row>
    <row r="156" spans="7:7" x14ac:dyDescent="0.25">
      <c r="G156" s="2"/>
    </row>
    <row r="157" spans="7:7" x14ac:dyDescent="0.25">
      <c r="G157" s="2"/>
    </row>
    <row r="158" spans="7:7" x14ac:dyDescent="0.25">
      <c r="G158" s="2"/>
    </row>
    <row r="159" spans="7:7" x14ac:dyDescent="0.25">
      <c r="G159" s="2"/>
    </row>
    <row r="160" spans="7:7" x14ac:dyDescent="0.25">
      <c r="G160" s="2"/>
    </row>
    <row r="161" spans="7:7" x14ac:dyDescent="0.25">
      <c r="G161" s="2"/>
    </row>
    <row r="162" spans="7:7" x14ac:dyDescent="0.25">
      <c r="G162" s="2"/>
    </row>
    <row r="163" spans="7:7" x14ac:dyDescent="0.25">
      <c r="G163" s="2"/>
    </row>
    <row r="164" spans="7:7" x14ac:dyDescent="0.25">
      <c r="G164" s="2"/>
    </row>
    <row r="165" spans="7:7" x14ac:dyDescent="0.25">
      <c r="G165" s="2"/>
    </row>
    <row r="166" spans="7:7" x14ac:dyDescent="0.25">
      <c r="G166" s="2"/>
    </row>
    <row r="167" spans="7:7" x14ac:dyDescent="0.25">
      <c r="G167" s="2"/>
    </row>
    <row r="168" spans="7:7" x14ac:dyDescent="0.25">
      <c r="G168" s="2"/>
    </row>
    <row r="169" spans="7:7" x14ac:dyDescent="0.25">
      <c r="G169" s="2"/>
    </row>
    <row r="170" spans="7:7" x14ac:dyDescent="0.25">
      <c r="G170" s="2"/>
    </row>
    <row r="171" spans="7:7" x14ac:dyDescent="0.25">
      <c r="G171" s="2"/>
    </row>
    <row r="172" spans="7:7" x14ac:dyDescent="0.25">
      <c r="G172" s="2"/>
    </row>
    <row r="173" spans="7:7" x14ac:dyDescent="0.25">
      <c r="G173" s="2"/>
    </row>
    <row r="174" spans="7:7" x14ac:dyDescent="0.25">
      <c r="G174" s="2"/>
    </row>
    <row r="175" spans="7:7" x14ac:dyDescent="0.25">
      <c r="G175" s="2"/>
    </row>
    <row r="176" spans="7:7" x14ac:dyDescent="0.25">
      <c r="G176" s="2"/>
    </row>
    <row r="177" spans="7:7" x14ac:dyDescent="0.25">
      <c r="G177" s="2"/>
    </row>
    <row r="178" spans="7:7" x14ac:dyDescent="0.25">
      <c r="G178" s="2"/>
    </row>
    <row r="179" spans="7:7" x14ac:dyDescent="0.25">
      <c r="G179" s="2"/>
    </row>
    <row r="180" spans="7:7" x14ac:dyDescent="0.25">
      <c r="G180" s="2"/>
    </row>
    <row r="181" spans="7:7" x14ac:dyDescent="0.25">
      <c r="G181" s="2"/>
    </row>
    <row r="182" spans="7:7" x14ac:dyDescent="0.25">
      <c r="G182" s="2"/>
    </row>
    <row r="183" spans="7:7" x14ac:dyDescent="0.25">
      <c r="G183" s="2"/>
    </row>
    <row r="184" spans="7:7" x14ac:dyDescent="0.25">
      <c r="G184" s="2"/>
    </row>
    <row r="185" spans="7:7" x14ac:dyDescent="0.25">
      <c r="G185" s="2"/>
    </row>
    <row r="186" spans="7:7" x14ac:dyDescent="0.25">
      <c r="G186" s="2"/>
    </row>
    <row r="187" spans="7:7" x14ac:dyDescent="0.25">
      <c r="G187" s="2"/>
    </row>
    <row r="188" spans="7:7" x14ac:dyDescent="0.25">
      <c r="G188" s="2"/>
    </row>
    <row r="189" spans="7:7" x14ac:dyDescent="0.25">
      <c r="G189" s="2"/>
    </row>
    <row r="190" spans="7:7" x14ac:dyDescent="0.25">
      <c r="G190" s="2"/>
    </row>
    <row r="191" spans="7:7" x14ac:dyDescent="0.25">
      <c r="G191" s="2"/>
    </row>
    <row r="192" spans="7:7" x14ac:dyDescent="0.25">
      <c r="G192" s="2"/>
    </row>
    <row r="193" spans="7:7" x14ac:dyDescent="0.25">
      <c r="G193" s="2"/>
    </row>
    <row r="194" spans="7:7" x14ac:dyDescent="0.25">
      <c r="G194" s="2"/>
    </row>
    <row r="195" spans="7:7" x14ac:dyDescent="0.25">
      <c r="G195" s="2"/>
    </row>
    <row r="196" spans="7:7" x14ac:dyDescent="0.25">
      <c r="G196" s="2"/>
    </row>
    <row r="197" spans="7:7" x14ac:dyDescent="0.25">
      <c r="G197" s="2"/>
    </row>
    <row r="198" spans="7:7" x14ac:dyDescent="0.25">
      <c r="G198" s="2"/>
    </row>
    <row r="199" spans="7:7" x14ac:dyDescent="0.25">
      <c r="G199" s="2"/>
    </row>
    <row r="200" spans="7:7" x14ac:dyDescent="0.25">
      <c r="G200" s="2"/>
    </row>
    <row r="201" spans="7:7" x14ac:dyDescent="0.25">
      <c r="G201" s="2"/>
    </row>
    <row r="202" spans="7:7" x14ac:dyDescent="0.25">
      <c r="G202" s="2"/>
    </row>
    <row r="203" spans="7:7" x14ac:dyDescent="0.25">
      <c r="G203" s="2"/>
    </row>
    <row r="204" spans="7:7" x14ac:dyDescent="0.25">
      <c r="G204" s="2"/>
    </row>
    <row r="205" spans="7:7" x14ac:dyDescent="0.25">
      <c r="G205" s="2"/>
    </row>
    <row r="206" spans="7:7" x14ac:dyDescent="0.25">
      <c r="G206" s="2"/>
    </row>
    <row r="207" spans="7:7" x14ac:dyDescent="0.25">
      <c r="G207" s="2"/>
    </row>
    <row r="208" spans="7:7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  <row r="213" spans="7:7" x14ac:dyDescent="0.25">
      <c r="G213" s="2"/>
    </row>
    <row r="214" spans="7:7" x14ac:dyDescent="0.25">
      <c r="G214" s="2"/>
    </row>
    <row r="215" spans="7:7" x14ac:dyDescent="0.25">
      <c r="G215" s="2"/>
    </row>
    <row r="216" spans="7:7" x14ac:dyDescent="0.25">
      <c r="G216" s="2"/>
    </row>
    <row r="217" spans="7:7" x14ac:dyDescent="0.25">
      <c r="G217" s="2"/>
    </row>
    <row r="218" spans="7:7" x14ac:dyDescent="0.25">
      <c r="G218" s="2"/>
    </row>
    <row r="219" spans="7:7" x14ac:dyDescent="0.25">
      <c r="G219" s="2"/>
    </row>
    <row r="220" spans="7:7" x14ac:dyDescent="0.25">
      <c r="G220" s="2"/>
    </row>
    <row r="221" spans="7:7" x14ac:dyDescent="0.25">
      <c r="G221" s="2"/>
    </row>
    <row r="222" spans="7:7" x14ac:dyDescent="0.25">
      <c r="G222" s="2"/>
    </row>
    <row r="223" spans="7:7" x14ac:dyDescent="0.25">
      <c r="G223" s="2"/>
    </row>
    <row r="224" spans="7:7" x14ac:dyDescent="0.25">
      <c r="G224" s="2"/>
    </row>
    <row r="225" spans="7:7" x14ac:dyDescent="0.25">
      <c r="G225" s="2"/>
    </row>
    <row r="226" spans="7:7" x14ac:dyDescent="0.25">
      <c r="G226" s="2"/>
    </row>
    <row r="227" spans="7:7" x14ac:dyDescent="0.25">
      <c r="G227" s="2"/>
    </row>
    <row r="228" spans="7:7" x14ac:dyDescent="0.25">
      <c r="G228" s="2"/>
    </row>
    <row r="229" spans="7:7" x14ac:dyDescent="0.25">
      <c r="G229" s="2"/>
    </row>
    <row r="230" spans="7:7" x14ac:dyDescent="0.25">
      <c r="G230" s="2"/>
    </row>
    <row r="231" spans="7:7" x14ac:dyDescent="0.25">
      <c r="G231" s="2"/>
    </row>
    <row r="232" spans="7:7" x14ac:dyDescent="0.25">
      <c r="G232" s="2"/>
    </row>
    <row r="233" spans="7:7" x14ac:dyDescent="0.25">
      <c r="G233" s="2"/>
    </row>
    <row r="234" spans="7:7" x14ac:dyDescent="0.25">
      <c r="G234" s="2"/>
    </row>
    <row r="235" spans="7:7" x14ac:dyDescent="0.25">
      <c r="G235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39" spans="7:7" x14ac:dyDescent="0.25">
      <c r="G239" s="2"/>
    </row>
    <row r="240" spans="7:7" x14ac:dyDescent="0.25">
      <c r="G240" s="2"/>
    </row>
    <row r="241" spans="7:7" x14ac:dyDescent="0.25">
      <c r="G241" s="2"/>
    </row>
    <row r="242" spans="7:7" x14ac:dyDescent="0.25">
      <c r="G242" s="2"/>
    </row>
    <row r="243" spans="7:7" x14ac:dyDescent="0.25">
      <c r="G243" s="2"/>
    </row>
    <row r="244" spans="7:7" x14ac:dyDescent="0.25">
      <c r="G244" s="2"/>
    </row>
    <row r="245" spans="7:7" x14ac:dyDescent="0.25">
      <c r="G245" s="2"/>
    </row>
    <row r="246" spans="7:7" x14ac:dyDescent="0.25">
      <c r="G246" s="2"/>
    </row>
    <row r="247" spans="7:7" x14ac:dyDescent="0.25">
      <c r="G247" s="2"/>
    </row>
    <row r="248" spans="7:7" x14ac:dyDescent="0.25">
      <c r="G248" s="2"/>
    </row>
    <row r="249" spans="7:7" x14ac:dyDescent="0.25">
      <c r="G249" s="2"/>
    </row>
    <row r="250" spans="7:7" x14ac:dyDescent="0.25">
      <c r="G250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4" spans="7:7" x14ac:dyDescent="0.25">
      <c r="G254" s="2"/>
    </row>
    <row r="255" spans="7:7" x14ac:dyDescent="0.25">
      <c r="G255" s="2"/>
    </row>
    <row r="256" spans="7:7" x14ac:dyDescent="0.25">
      <c r="G256" s="2"/>
    </row>
    <row r="257" spans="7:7" x14ac:dyDescent="0.25">
      <c r="G257" s="2"/>
    </row>
    <row r="258" spans="7:7" x14ac:dyDescent="0.25">
      <c r="G258" s="2"/>
    </row>
    <row r="259" spans="7:7" x14ac:dyDescent="0.25">
      <c r="G259" s="2"/>
    </row>
    <row r="260" spans="7:7" x14ac:dyDescent="0.25">
      <c r="G260" s="2"/>
    </row>
    <row r="261" spans="7:7" x14ac:dyDescent="0.25">
      <c r="G261" s="2"/>
    </row>
    <row r="262" spans="7:7" x14ac:dyDescent="0.25">
      <c r="G262" s="2"/>
    </row>
    <row r="263" spans="7:7" x14ac:dyDescent="0.25">
      <c r="G263" s="2"/>
    </row>
    <row r="264" spans="7:7" x14ac:dyDescent="0.25">
      <c r="G264" s="2"/>
    </row>
    <row r="265" spans="7:7" x14ac:dyDescent="0.25">
      <c r="G265" s="2"/>
    </row>
    <row r="266" spans="7:7" x14ac:dyDescent="0.25">
      <c r="G266" s="2"/>
    </row>
    <row r="267" spans="7:7" x14ac:dyDescent="0.25">
      <c r="G267" s="2"/>
    </row>
    <row r="268" spans="7:7" x14ac:dyDescent="0.25">
      <c r="G268" s="2"/>
    </row>
    <row r="269" spans="7:7" x14ac:dyDescent="0.25">
      <c r="G269" s="2"/>
    </row>
    <row r="270" spans="7:7" x14ac:dyDescent="0.25">
      <c r="G270" s="2"/>
    </row>
    <row r="271" spans="7:7" x14ac:dyDescent="0.25">
      <c r="G271" s="2"/>
    </row>
    <row r="272" spans="7:7" x14ac:dyDescent="0.25">
      <c r="G272" s="2"/>
    </row>
    <row r="273" spans="7:7" x14ac:dyDescent="0.25">
      <c r="G273" s="2"/>
    </row>
    <row r="274" spans="7:7" x14ac:dyDescent="0.25">
      <c r="G274" s="2"/>
    </row>
    <row r="275" spans="7:7" x14ac:dyDescent="0.25">
      <c r="G275" s="2"/>
    </row>
    <row r="276" spans="7:7" x14ac:dyDescent="0.25">
      <c r="G276" s="2"/>
    </row>
    <row r="277" spans="7:7" x14ac:dyDescent="0.25">
      <c r="G277" s="2"/>
    </row>
    <row r="278" spans="7:7" x14ac:dyDescent="0.25">
      <c r="G278" s="10"/>
    </row>
    <row r="279" spans="7:7" x14ac:dyDescent="0.25">
      <c r="G279" s="10"/>
    </row>
    <row r="280" spans="7:7" x14ac:dyDescent="0.25">
      <c r="G280" s="10"/>
    </row>
    <row r="281" spans="7:7" x14ac:dyDescent="0.25">
      <c r="G281" s="10"/>
    </row>
    <row r="282" spans="7:7" x14ac:dyDescent="0.25">
      <c r="G282" s="10"/>
    </row>
    <row r="283" spans="7:7" x14ac:dyDescent="0.25">
      <c r="G283" s="10"/>
    </row>
    <row r="284" spans="7:7" x14ac:dyDescent="0.25">
      <c r="G284" s="10"/>
    </row>
    <row r="285" spans="7:7" x14ac:dyDescent="0.25">
      <c r="G285" s="10"/>
    </row>
    <row r="286" spans="7:7" x14ac:dyDescent="0.25">
      <c r="G286" s="10"/>
    </row>
    <row r="287" spans="7:7" x14ac:dyDescent="0.25">
      <c r="G287" s="10"/>
    </row>
    <row r="288" spans="7:7" x14ac:dyDescent="0.25">
      <c r="G288" s="10"/>
    </row>
    <row r="289" spans="7:7" x14ac:dyDescent="0.25">
      <c r="G289" s="10"/>
    </row>
    <row r="290" spans="7:7" x14ac:dyDescent="0.25">
      <c r="G290" s="10"/>
    </row>
    <row r="291" spans="7:7" x14ac:dyDescent="0.25">
      <c r="G291" s="10"/>
    </row>
    <row r="292" spans="7:7" x14ac:dyDescent="0.25">
      <c r="G292" s="10"/>
    </row>
    <row r="293" spans="7:7" x14ac:dyDescent="0.25">
      <c r="G293" s="10"/>
    </row>
    <row r="294" spans="7:7" x14ac:dyDescent="0.25">
      <c r="G294" s="10"/>
    </row>
    <row r="295" spans="7:7" x14ac:dyDescent="0.25">
      <c r="G295" s="10"/>
    </row>
    <row r="296" spans="7:7" x14ac:dyDescent="0.25">
      <c r="G296" s="10"/>
    </row>
    <row r="297" spans="7:7" x14ac:dyDescent="0.25">
      <c r="G297" s="10"/>
    </row>
    <row r="298" spans="7:7" x14ac:dyDescent="0.25">
      <c r="G298" s="10"/>
    </row>
    <row r="299" spans="7:7" x14ac:dyDescent="0.25">
      <c r="G299" s="10"/>
    </row>
    <row r="300" spans="7:7" x14ac:dyDescent="0.25">
      <c r="G300" s="10"/>
    </row>
    <row r="301" spans="7:7" x14ac:dyDescent="0.25">
      <c r="G301" s="10"/>
    </row>
    <row r="302" spans="7:7" x14ac:dyDescent="0.25">
      <c r="G302" s="10"/>
    </row>
    <row r="303" spans="7:7" x14ac:dyDescent="0.25">
      <c r="G303" s="10"/>
    </row>
    <row r="304" spans="7:7" x14ac:dyDescent="0.25">
      <c r="G304" s="10"/>
    </row>
    <row r="305" spans="7:7" x14ac:dyDescent="0.25">
      <c r="G305" s="10"/>
    </row>
    <row r="306" spans="7:7" x14ac:dyDescent="0.25">
      <c r="G306" s="10"/>
    </row>
    <row r="307" spans="7:7" x14ac:dyDescent="0.25">
      <c r="G307" s="10"/>
    </row>
    <row r="308" spans="7:7" x14ac:dyDescent="0.25">
      <c r="G308" s="10"/>
    </row>
    <row r="309" spans="7:7" x14ac:dyDescent="0.25">
      <c r="G309" s="10"/>
    </row>
    <row r="310" spans="7:7" x14ac:dyDescent="0.25">
      <c r="G310" s="10"/>
    </row>
    <row r="311" spans="7:7" x14ac:dyDescent="0.25">
      <c r="G311" s="10"/>
    </row>
    <row r="312" spans="7:7" x14ac:dyDescent="0.25">
      <c r="G312" s="10"/>
    </row>
    <row r="313" spans="7:7" x14ac:dyDescent="0.25">
      <c r="G313" s="10"/>
    </row>
    <row r="314" spans="7:7" x14ac:dyDescent="0.25">
      <c r="G314" s="10"/>
    </row>
    <row r="315" spans="7:7" x14ac:dyDescent="0.25">
      <c r="G315" s="10"/>
    </row>
    <row r="316" spans="7:7" x14ac:dyDescent="0.25">
      <c r="G316" s="10"/>
    </row>
    <row r="317" spans="7:7" x14ac:dyDescent="0.25">
      <c r="G317" s="10"/>
    </row>
    <row r="318" spans="7:7" x14ac:dyDescent="0.25">
      <c r="G318" s="10"/>
    </row>
    <row r="319" spans="7:7" x14ac:dyDescent="0.25">
      <c r="G319" s="10"/>
    </row>
    <row r="320" spans="7:7" x14ac:dyDescent="0.25">
      <c r="G320" s="10"/>
    </row>
    <row r="321" spans="7:7" x14ac:dyDescent="0.25">
      <c r="G321" s="10"/>
    </row>
    <row r="322" spans="7:7" x14ac:dyDescent="0.25">
      <c r="G322" s="10"/>
    </row>
    <row r="323" spans="7:7" x14ac:dyDescent="0.25">
      <c r="G323" s="10"/>
    </row>
    <row r="324" spans="7:7" x14ac:dyDescent="0.25">
      <c r="G324" s="10"/>
    </row>
    <row r="325" spans="7:7" x14ac:dyDescent="0.25">
      <c r="G325" s="10"/>
    </row>
    <row r="326" spans="7:7" x14ac:dyDescent="0.25">
      <c r="G326" s="10"/>
    </row>
    <row r="327" spans="7:7" x14ac:dyDescent="0.25">
      <c r="G327" s="10"/>
    </row>
    <row r="328" spans="7:7" x14ac:dyDescent="0.25">
      <c r="G328" s="10"/>
    </row>
    <row r="329" spans="7:7" x14ac:dyDescent="0.25">
      <c r="G329" s="10"/>
    </row>
    <row r="330" spans="7:7" x14ac:dyDescent="0.25">
      <c r="G330" s="10"/>
    </row>
    <row r="331" spans="7:7" x14ac:dyDescent="0.25">
      <c r="G331" s="10"/>
    </row>
    <row r="332" spans="7:7" x14ac:dyDescent="0.25">
      <c r="G332" s="10"/>
    </row>
    <row r="333" spans="7:7" x14ac:dyDescent="0.25">
      <c r="G333" s="10"/>
    </row>
    <row r="334" spans="7:7" x14ac:dyDescent="0.25">
      <c r="G334" s="10"/>
    </row>
    <row r="335" spans="7:7" x14ac:dyDescent="0.25">
      <c r="G335" s="10"/>
    </row>
    <row r="336" spans="7:7" x14ac:dyDescent="0.25">
      <c r="G336" s="10"/>
    </row>
    <row r="337" spans="7:7" x14ac:dyDescent="0.25">
      <c r="G337" s="10"/>
    </row>
    <row r="338" spans="7:7" x14ac:dyDescent="0.25">
      <c r="G338" s="10"/>
    </row>
    <row r="339" spans="7:7" x14ac:dyDescent="0.25">
      <c r="G339" s="10"/>
    </row>
    <row r="340" spans="7:7" x14ac:dyDescent="0.25">
      <c r="G340" s="10"/>
    </row>
    <row r="341" spans="7:7" x14ac:dyDescent="0.25">
      <c r="G341" s="10"/>
    </row>
    <row r="342" spans="7:7" x14ac:dyDescent="0.25">
      <c r="G342" s="10"/>
    </row>
    <row r="343" spans="7:7" x14ac:dyDescent="0.25">
      <c r="G343" s="10"/>
    </row>
    <row r="344" spans="7:7" x14ac:dyDescent="0.25">
      <c r="G344" s="10"/>
    </row>
    <row r="345" spans="7:7" x14ac:dyDescent="0.25">
      <c r="G345" s="10"/>
    </row>
    <row r="346" spans="7:7" x14ac:dyDescent="0.25">
      <c r="G346" s="10"/>
    </row>
    <row r="347" spans="7:7" x14ac:dyDescent="0.25">
      <c r="G347" s="10"/>
    </row>
    <row r="348" spans="7:7" x14ac:dyDescent="0.25">
      <c r="G348" s="10"/>
    </row>
    <row r="349" spans="7:7" x14ac:dyDescent="0.25">
      <c r="G349" s="10"/>
    </row>
    <row r="350" spans="7:7" x14ac:dyDescent="0.25">
      <c r="G350" s="10"/>
    </row>
    <row r="351" spans="7:7" x14ac:dyDescent="0.25">
      <c r="G351" s="1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5</vt:i4>
      </vt:variant>
      <vt:variant>
        <vt:lpstr>Rentang Bernama</vt:lpstr>
      </vt:variant>
      <vt:variant>
        <vt:i4>1</vt:i4>
      </vt:variant>
    </vt:vector>
  </HeadingPairs>
  <TitlesOfParts>
    <vt:vector size="6" baseType="lpstr">
      <vt:lpstr>petunjuk</vt:lpstr>
      <vt:lpstr>siswa</vt:lpstr>
      <vt:lpstr>tagihan</vt:lpstr>
      <vt:lpstr>pembayaran</vt:lpstr>
      <vt:lpstr>referensi</vt:lpstr>
      <vt:lpstr>daftarnama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Maulana</cp:lastModifiedBy>
  <cp:revision>2</cp:revision>
  <dcterms:modified xsi:type="dcterms:W3CDTF">2026-06-16T16:29:41Z</dcterms:modified>
  <dc:language>en-US</dc:language>
</cp:coreProperties>
</file>